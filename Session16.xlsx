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8_{F4AB1263-D8BC-4F3B-978D-3026451232F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asks &amp; Answers" sheetId="1" r:id="rId1"/>
    <sheet name="Answer Summary" sheetId="2" r:id="rId2"/>
  </sheets>
  <calcPr calcId="191029"/>
</workbook>
</file>

<file path=xl/calcChain.xml><?xml version="1.0" encoding="utf-8"?>
<calcChain xmlns="http://schemas.openxmlformats.org/spreadsheetml/2006/main">
  <c r="I46" i="1" l="1"/>
  <c r="H46" i="1"/>
  <c r="G46" i="1"/>
  <c r="I45" i="1"/>
  <c r="H45" i="1"/>
  <c r="G45" i="1"/>
  <c r="I44" i="1"/>
  <c r="H44" i="1"/>
  <c r="G44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B18" i="1"/>
  <c r="B17" i="1"/>
  <c r="B37" i="1" l="1"/>
  <c r="B38" i="1" s="1"/>
</calcChain>
</file>

<file path=xl/sharedStrings.xml><?xml version="1.0" encoding="utf-8"?>
<sst xmlns="http://schemas.openxmlformats.org/spreadsheetml/2006/main" count="76" uniqueCount="71">
  <si>
    <t>Task 1: Pearson Correlation — Songs</t>
  </si>
  <si>
    <t>Song</t>
  </si>
  <si>
    <t>Danceability</t>
  </si>
  <si>
    <t>Energy</t>
  </si>
  <si>
    <t>Popularity</t>
  </si>
  <si>
    <t>Song A</t>
  </si>
  <si>
    <t>Song B</t>
  </si>
  <si>
    <t>Song C</t>
  </si>
  <si>
    <t>Song D</t>
  </si>
  <si>
    <t>Song E</t>
  </si>
  <si>
    <t>Song F</t>
  </si>
  <si>
    <t>Song G</t>
  </si>
  <si>
    <t>Song H</t>
  </si>
  <si>
    <t>Song I</t>
  </si>
  <si>
    <t>Song J</t>
  </si>
  <si>
    <t>Song K</t>
  </si>
  <si>
    <t>Song L</t>
  </si>
  <si>
    <t>Pearson correlation (Danceability vs Popularity)</t>
  </si>
  <si>
    <t>Interpretation</t>
  </si>
  <si>
    <t>Task 2: Spearman Correlation — IPL Players</t>
  </si>
  <si>
    <t>Player</t>
  </si>
  <si>
    <t>Total Runs</t>
  </si>
  <si>
    <t>Instagram Followers (Millions)</t>
  </si>
  <si>
    <t>Run Rank</t>
  </si>
  <si>
    <t>Follower Rank</t>
  </si>
  <si>
    <t>Virat Kohli</t>
  </si>
  <si>
    <t>Rohit Sharma</t>
  </si>
  <si>
    <t>MS Dhoni</t>
  </si>
  <si>
    <t>Shubman Gill</t>
  </si>
  <si>
    <t>Jasprit Bumrah</t>
  </si>
  <si>
    <t>KL Rahul</t>
  </si>
  <si>
    <t>Hardik Pandya</t>
  </si>
  <si>
    <t>Rishabh Pant</t>
  </si>
  <si>
    <t>Suryakumar Yadav</t>
  </si>
  <si>
    <t>Ravindra Jadeja</t>
  </si>
  <si>
    <t>Sanju Samson</t>
  </si>
  <si>
    <t>Yashasvi Jaiswal</t>
  </si>
  <si>
    <t>Spearman correlation (Runs vs Followers)</t>
  </si>
  <si>
    <t>Task 3: Flipkart Correlation Matrix</t>
  </si>
  <si>
    <t>Price (₹)</t>
  </si>
  <si>
    <t>User Rating</t>
  </si>
  <si>
    <t>Number of Reviews</t>
  </si>
  <si>
    <t>Price</t>
  </si>
  <si>
    <t>Reviews</t>
  </si>
  <si>
    <t>Heatmap legend</t>
  </si>
  <si>
    <t>Strong negative (-1)</t>
  </si>
  <si>
    <t>Negative</t>
  </si>
  <si>
    <t>Near zero (0)</t>
  </si>
  <si>
    <t>Neutral</t>
  </si>
  <si>
    <t>Strong positive (+1)</t>
  </si>
  <si>
    <t>Positive</t>
  </si>
  <si>
    <t>Task 4: Correlation Matrix Heatmap</t>
  </si>
  <si>
    <t>Excel version: the matrix above is formatted as a heatmap with annotations and a color scale.</t>
  </si>
  <si>
    <t>Task 5: Potential Pitfalls of Correlation</t>
  </si>
  <si>
    <t>Pitfall 1: Correlation does not imply causation</t>
  </si>
  <si>
    <t>Example: YouTube video views and ad revenue may be positively correlated, but the correlation alone does not prove that higher views caused every increase in revenue; seasonality, ad rates, or audience type may also affect revenue.</t>
  </si>
  <si>
    <t>Pitfall 2: Confounding variables / hidden factors</t>
  </si>
  <si>
    <t>Example: Zomato ratings and order volume might be correlated, but restaurant location, discounts, cuisine, delivery time, and brand popularity can influence both variables and make the relationship misleading.</t>
  </si>
  <si>
    <t>Correlation Assignment — Answer Summary</t>
  </si>
  <si>
    <t>Task</t>
  </si>
  <si>
    <t>Result</t>
  </si>
  <si>
    <t>1</t>
  </si>
  <si>
    <t>Pearson correlation ≈ 0.9820. Excel formula: =CORREL(B4:B15,D4:D15)</t>
  </si>
  <si>
    <t>2</t>
  </si>
  <si>
    <t>Spearman correlation ≈ 0.5684. Excel calculates this using ranked columns and =CORREL(rank columns).</t>
  </si>
  <si>
    <t>3</t>
  </si>
  <si>
    <t>Correlation matrix is created with Excel CORREL() formulas for Price, User Rating, and Reviews.</t>
  </si>
  <si>
    <t>4</t>
  </si>
  <si>
    <t>A conditional-formatting heatmap with numeric annotations is included. This is the Excel equivalent of a seaborn heatmap.</t>
  </si>
  <si>
    <t>5</t>
  </si>
  <si>
    <t>Pitfalls: correlation does not prove causation; confounding/hidden variables can create misleading correlations.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</si>
</sst>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opLeftCell="A60" workbookViewId="0"/>
  </sheetViews>
  <sheetFormatPr defaultRowHeight="14.4" x14ac:dyDescent="0.3"/>
  <cols>
    <col min="1" max="1" width="45.33203125" customWidth="1"/>
    <col min="2" max="2" width="78" customWidth="1"/>
    <col min="3" max="3" width="28" customWidth="1"/>
    <col min="4" max="5" width="14" customWidth="1"/>
    <col min="6" max="6" width="18" customWidth="1"/>
    <col min="7" max="9" width="16" customWidth="1"/>
  </cols>
  <sheetData>
    <row r="1" spans="1:4" ht="19.8" customHeight="1" x14ac:dyDescent="0.3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 t="s">
        <v>5</v>
      </c>
      <c r="B4" s="3">
        <v>0.82</v>
      </c>
      <c r="C4" s="3">
        <v>0.78</v>
      </c>
      <c r="D4" s="3">
        <v>85</v>
      </c>
    </row>
    <row r="5" spans="1:4" x14ac:dyDescent="0.3">
      <c r="A5" s="3" t="s">
        <v>6</v>
      </c>
      <c r="B5" s="3">
        <v>0.65</v>
      </c>
      <c r="C5" s="3">
        <v>0.62</v>
      </c>
      <c r="D5" s="3">
        <v>72</v>
      </c>
    </row>
    <row r="6" spans="1:4" x14ac:dyDescent="0.3">
      <c r="A6" s="3" t="s">
        <v>7</v>
      </c>
      <c r="B6" s="3">
        <v>0.91</v>
      </c>
      <c r="C6" s="3">
        <v>0.89</v>
      </c>
      <c r="D6" s="3">
        <v>91</v>
      </c>
    </row>
    <row r="7" spans="1:4" x14ac:dyDescent="0.3">
      <c r="A7" s="3" t="s">
        <v>8</v>
      </c>
      <c r="B7" s="3">
        <v>0.54</v>
      </c>
      <c r="C7" s="3">
        <v>0.45</v>
      </c>
      <c r="D7" s="3">
        <v>55</v>
      </c>
    </row>
    <row r="8" spans="1:4" x14ac:dyDescent="0.3">
      <c r="A8" s="3" t="s">
        <v>9</v>
      </c>
      <c r="B8" s="3">
        <v>0.76</v>
      </c>
      <c r="C8" s="3">
        <v>0.71</v>
      </c>
      <c r="D8" s="3">
        <v>79</v>
      </c>
    </row>
    <row r="9" spans="1:4" x14ac:dyDescent="0.3">
      <c r="A9" s="3" t="s">
        <v>10</v>
      </c>
      <c r="B9" s="3">
        <v>0.88</v>
      </c>
      <c r="C9" s="3">
        <v>0.94</v>
      </c>
      <c r="D9" s="3">
        <v>88</v>
      </c>
    </row>
    <row r="10" spans="1:4" x14ac:dyDescent="0.3">
      <c r="A10" s="3" t="s">
        <v>11</v>
      </c>
      <c r="B10" s="3">
        <v>0.48</v>
      </c>
      <c r="C10" s="3">
        <v>0.51</v>
      </c>
      <c r="D10" s="3">
        <v>48</v>
      </c>
    </row>
    <row r="11" spans="1:4" x14ac:dyDescent="0.3">
      <c r="A11" s="3" t="s">
        <v>12</v>
      </c>
      <c r="B11" s="3">
        <v>0.72</v>
      </c>
      <c r="C11" s="3">
        <v>0.67</v>
      </c>
      <c r="D11" s="3">
        <v>68</v>
      </c>
    </row>
    <row r="12" spans="1:4" x14ac:dyDescent="0.3">
      <c r="A12" s="3" t="s">
        <v>13</v>
      </c>
      <c r="B12" s="3">
        <v>0.69</v>
      </c>
      <c r="C12" s="3">
        <v>0.73</v>
      </c>
      <c r="D12" s="3">
        <v>74</v>
      </c>
    </row>
    <row r="13" spans="1:4" x14ac:dyDescent="0.3">
      <c r="A13" s="3" t="s">
        <v>14</v>
      </c>
      <c r="B13" s="3">
        <v>0.93</v>
      </c>
      <c r="C13" s="3">
        <v>0.91</v>
      </c>
      <c r="D13" s="3">
        <v>95</v>
      </c>
    </row>
    <row r="14" spans="1:4" x14ac:dyDescent="0.3">
      <c r="A14" s="3" t="s">
        <v>15</v>
      </c>
      <c r="B14" s="3">
        <v>0.57999999999999996</v>
      </c>
      <c r="C14" s="3">
        <v>0.56000000000000005</v>
      </c>
      <c r="D14" s="3">
        <v>61</v>
      </c>
    </row>
    <row r="15" spans="1:4" x14ac:dyDescent="0.3">
      <c r="A15" s="3" t="s">
        <v>16</v>
      </c>
      <c r="B15" s="3">
        <v>0.8</v>
      </c>
      <c r="C15" s="3">
        <v>0.84</v>
      </c>
      <c r="D15" s="3">
        <v>82</v>
      </c>
    </row>
    <row r="17" spans="1:5" ht="28.8" x14ac:dyDescent="0.3">
      <c r="A17" s="3" t="s">
        <v>17</v>
      </c>
      <c r="B17" s="3">
        <f>CORREL(B4:B15,D4:D15)</f>
        <v>0.98197969488961556</v>
      </c>
    </row>
    <row r="18" spans="1:5" x14ac:dyDescent="0.3">
      <c r="A18" s="3" t="s">
        <v>18</v>
      </c>
      <c r="B18" s="3" t="str">
        <f>IF(B17&gt;0,"Positive correlation: higher danceability tends to be associated with higher popularity.","Negative correlation: higher danceability tends to be associated with lower popularity.")</f>
        <v>Positive correlation: higher danceability tends to be associated with higher popularity.</v>
      </c>
    </row>
    <row r="21" spans="1:5" ht="36" x14ac:dyDescent="0.3">
      <c r="A21" s="1" t="s">
        <v>19</v>
      </c>
    </row>
    <row r="23" spans="1:5" x14ac:dyDescent="0.3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</row>
    <row r="24" spans="1:5" x14ac:dyDescent="0.3">
      <c r="A24" s="3" t="s">
        <v>25</v>
      </c>
      <c r="B24" s="3">
        <v>8100</v>
      </c>
      <c r="C24" s="3">
        <v>270</v>
      </c>
      <c r="D24" s="3" t="e">
        <f t="shared" ref="D24:D35" ca="1" si="0">_xludf.RANK.EQ(B24,$B$24:$B$35,1)</f>
        <v>#NAME?</v>
      </c>
      <c r="E24" s="3" t="e">
        <f t="shared" ref="E24:E35" ca="1" si="1">_xludf.RANK.EQ(C24,$C$24:$C$35,1)</f>
        <v>#NAME?</v>
      </c>
    </row>
    <row r="25" spans="1:5" x14ac:dyDescent="0.3">
      <c r="A25" s="3" t="s">
        <v>26</v>
      </c>
      <c r="B25" s="3">
        <v>6800</v>
      </c>
      <c r="C25" s="3">
        <v>45</v>
      </c>
      <c r="D25" s="3" t="e">
        <f t="shared" ca="1" si="0"/>
        <v>#NAME?</v>
      </c>
      <c r="E25" s="3" t="e">
        <f t="shared" ca="1" si="1"/>
        <v>#NAME?</v>
      </c>
    </row>
    <row r="26" spans="1:5" x14ac:dyDescent="0.3">
      <c r="A26" s="3" t="s">
        <v>27</v>
      </c>
      <c r="B26" s="3">
        <v>5200</v>
      </c>
      <c r="C26" s="3">
        <v>52</v>
      </c>
      <c r="D26" s="3" t="e">
        <f t="shared" ca="1" si="0"/>
        <v>#NAME?</v>
      </c>
      <c r="E26" s="3" t="e">
        <f t="shared" ca="1" si="1"/>
        <v>#NAME?</v>
      </c>
    </row>
    <row r="27" spans="1:5" x14ac:dyDescent="0.3">
      <c r="A27" s="3" t="s">
        <v>28</v>
      </c>
      <c r="B27" s="3">
        <v>3100</v>
      </c>
      <c r="C27" s="3">
        <v>18</v>
      </c>
      <c r="D27" s="3" t="e">
        <f t="shared" ca="1" si="0"/>
        <v>#NAME?</v>
      </c>
      <c r="E27" s="3" t="e">
        <f t="shared" ca="1" si="1"/>
        <v>#NAME?</v>
      </c>
    </row>
    <row r="28" spans="1:5" x14ac:dyDescent="0.3">
      <c r="A28" s="3" t="s">
        <v>29</v>
      </c>
      <c r="B28" s="3">
        <v>420</v>
      </c>
      <c r="C28" s="3">
        <v>18</v>
      </c>
      <c r="D28" s="3" t="e">
        <f t="shared" ca="1" si="0"/>
        <v>#NAME?</v>
      </c>
      <c r="E28" s="3" t="e">
        <f t="shared" ca="1" si="1"/>
        <v>#NAME?</v>
      </c>
    </row>
    <row r="29" spans="1:5" x14ac:dyDescent="0.3">
      <c r="A29" s="3" t="s">
        <v>30</v>
      </c>
      <c r="B29" s="3">
        <v>4700</v>
      </c>
      <c r="C29" s="3">
        <v>24</v>
      </c>
      <c r="D29" s="3" t="e">
        <f t="shared" ca="1" si="0"/>
        <v>#NAME?</v>
      </c>
      <c r="E29" s="3" t="e">
        <f t="shared" ca="1" si="1"/>
        <v>#NAME?</v>
      </c>
    </row>
    <row r="30" spans="1:5" x14ac:dyDescent="0.3">
      <c r="A30" s="3" t="s">
        <v>31</v>
      </c>
      <c r="B30" s="3">
        <v>2100</v>
      </c>
      <c r="C30" s="3">
        <v>35</v>
      </c>
      <c r="D30" s="3" t="e">
        <f t="shared" ca="1" si="0"/>
        <v>#NAME?</v>
      </c>
      <c r="E30" s="3" t="e">
        <f t="shared" ca="1" si="1"/>
        <v>#NAME?</v>
      </c>
    </row>
    <row r="31" spans="1:5" x14ac:dyDescent="0.3">
      <c r="A31" s="3" t="s">
        <v>32</v>
      </c>
      <c r="B31" s="3">
        <v>2900</v>
      </c>
      <c r="C31" s="3">
        <v>10</v>
      </c>
      <c r="D31" s="3" t="e">
        <f t="shared" ca="1" si="0"/>
        <v>#NAME?</v>
      </c>
      <c r="E31" s="3" t="e">
        <f t="shared" ca="1" si="1"/>
        <v>#NAME?</v>
      </c>
    </row>
    <row r="32" spans="1:5" x14ac:dyDescent="0.3">
      <c r="A32" s="3" t="s">
        <v>33</v>
      </c>
      <c r="B32" s="3">
        <v>3400</v>
      </c>
      <c r="C32" s="3">
        <v>16</v>
      </c>
      <c r="D32" s="3" t="e">
        <f t="shared" ca="1" si="0"/>
        <v>#NAME?</v>
      </c>
      <c r="E32" s="3" t="e">
        <f t="shared" ca="1" si="1"/>
        <v>#NAME?</v>
      </c>
    </row>
    <row r="33" spans="1:9" x14ac:dyDescent="0.3">
      <c r="A33" s="3" t="s">
        <v>34</v>
      </c>
      <c r="B33" s="3">
        <v>2800</v>
      </c>
      <c r="C33" s="3">
        <v>10</v>
      </c>
      <c r="D33" s="3" t="e">
        <f t="shared" ca="1" si="0"/>
        <v>#NAME?</v>
      </c>
      <c r="E33" s="3" t="e">
        <f t="shared" ca="1" si="1"/>
        <v>#NAME?</v>
      </c>
    </row>
    <row r="34" spans="1:9" x14ac:dyDescent="0.3">
      <c r="A34" s="3" t="s">
        <v>35</v>
      </c>
      <c r="B34" s="3">
        <v>3200</v>
      </c>
      <c r="C34" s="3">
        <v>9</v>
      </c>
      <c r="D34" s="3" t="e">
        <f t="shared" ca="1" si="0"/>
        <v>#NAME?</v>
      </c>
      <c r="E34" s="3" t="e">
        <f t="shared" ca="1" si="1"/>
        <v>#NAME?</v>
      </c>
    </row>
    <row r="35" spans="1:9" x14ac:dyDescent="0.3">
      <c r="A35" s="3" t="s">
        <v>36</v>
      </c>
      <c r="B35" s="3">
        <v>2500</v>
      </c>
      <c r="C35" s="3">
        <v>8</v>
      </c>
      <c r="D35" s="3" t="e">
        <f t="shared" ca="1" si="0"/>
        <v>#NAME?</v>
      </c>
      <c r="E35" s="3" t="e">
        <f t="shared" ca="1" si="1"/>
        <v>#NAME?</v>
      </c>
    </row>
    <row r="37" spans="1:9" ht="28.8" x14ac:dyDescent="0.3">
      <c r="A37" s="3" t="s">
        <v>37</v>
      </c>
      <c r="B37" s="3" t="e">
        <f ca="1">CORREL(D24:D35,E24:E35)</f>
        <v>#NAME?</v>
      </c>
    </row>
    <row r="38" spans="1:9" x14ac:dyDescent="0.3">
      <c r="A38" s="3" t="s">
        <v>18</v>
      </c>
      <c r="B38" s="3" t="e">
        <f ca="1">IF(B37&gt;0,"Positive Spearman correlation: players with more runs generally tend to have more followers.","Negative Spearman correlation: more runs generally tend to be associated with fewer followers.")</f>
        <v>#NAME?</v>
      </c>
    </row>
    <row r="41" spans="1:9" ht="36" x14ac:dyDescent="0.3">
      <c r="A41" s="1" t="s">
        <v>38</v>
      </c>
    </row>
    <row r="43" spans="1:9" x14ac:dyDescent="0.3">
      <c r="A43" s="2" t="s">
        <v>39</v>
      </c>
      <c r="B43" s="2" t="s">
        <v>40</v>
      </c>
      <c r="C43" s="2" t="s">
        <v>41</v>
      </c>
      <c r="F43" s="2"/>
      <c r="G43" s="2" t="s">
        <v>42</v>
      </c>
      <c r="H43" s="2" t="s">
        <v>40</v>
      </c>
      <c r="I43" s="2" t="s">
        <v>43</v>
      </c>
    </row>
    <row r="44" spans="1:9" x14ac:dyDescent="0.3">
      <c r="A44" s="3">
        <v>799</v>
      </c>
      <c r="B44" s="3">
        <v>4.2</v>
      </c>
      <c r="C44" s="3">
        <v>1250</v>
      </c>
      <c r="F44" s="2" t="s">
        <v>42</v>
      </c>
      <c r="G44" s="4">
        <f>CORREL(A44:A53,A44:A53)</f>
        <v>0.99999999999999989</v>
      </c>
      <c r="H44" s="4">
        <f>CORREL(A44:A53,B44:B53)</f>
        <v>0.85029687664992948</v>
      </c>
      <c r="I44" s="4">
        <f>CORREL(A44:A53,C44:C53)</f>
        <v>-0.71189277159242248</v>
      </c>
    </row>
    <row r="45" spans="1:9" x14ac:dyDescent="0.3">
      <c r="A45" s="3">
        <v>1299</v>
      </c>
      <c r="B45" s="3">
        <v>4.4000000000000004</v>
      </c>
      <c r="C45" s="3">
        <v>980</v>
      </c>
      <c r="F45" s="2" t="s">
        <v>40</v>
      </c>
      <c r="G45" s="4">
        <f>CORREL(B44:B53,A44:A53)</f>
        <v>0.85029687664992948</v>
      </c>
      <c r="H45" s="4">
        <f>CORREL(B44:B53,B44:B53)</f>
        <v>1.0000000000000002</v>
      </c>
      <c r="I45" s="4">
        <f>CORREL(B44:B53,C44:C53)</f>
        <v>-0.91272820583269576</v>
      </c>
    </row>
    <row r="46" spans="1:9" x14ac:dyDescent="0.3">
      <c r="A46" s="3">
        <v>1599</v>
      </c>
      <c r="B46" s="3">
        <v>4.0999999999999996</v>
      </c>
      <c r="C46" s="3">
        <v>2100</v>
      </c>
      <c r="F46" s="2" t="s">
        <v>43</v>
      </c>
      <c r="G46" s="4">
        <f>CORREL(C44:C53,A44:A53)</f>
        <v>-0.71189277159242248</v>
      </c>
      <c r="H46" s="4">
        <f>CORREL(C44:C53,B44:B53)</f>
        <v>-0.91272820583269576</v>
      </c>
      <c r="I46" s="4">
        <f>CORREL(C44:C53,C44:C53)</f>
        <v>1</v>
      </c>
    </row>
    <row r="47" spans="1:9" x14ac:dyDescent="0.3">
      <c r="A47" s="3">
        <v>2499</v>
      </c>
      <c r="B47" s="3">
        <v>4.5999999999999996</v>
      </c>
      <c r="C47" s="3">
        <v>760</v>
      </c>
    </row>
    <row r="48" spans="1:9" x14ac:dyDescent="0.3">
      <c r="A48" s="3">
        <v>999</v>
      </c>
      <c r="B48" s="3">
        <v>3.9</v>
      </c>
      <c r="C48" s="3">
        <v>3200</v>
      </c>
    </row>
    <row r="49" spans="1:7" x14ac:dyDescent="0.3">
      <c r="A49" s="3">
        <v>1899</v>
      </c>
      <c r="B49" s="3">
        <v>4.3</v>
      </c>
      <c r="C49" s="3">
        <v>1450</v>
      </c>
      <c r="F49" s="3" t="s">
        <v>44</v>
      </c>
    </row>
    <row r="50" spans="1:7" x14ac:dyDescent="0.3">
      <c r="A50" s="3">
        <v>2999</v>
      </c>
      <c r="B50" s="3">
        <v>4.7</v>
      </c>
      <c r="C50" s="3">
        <v>540</v>
      </c>
      <c r="F50" s="3" t="s">
        <v>45</v>
      </c>
      <c r="G50" s="3" t="s">
        <v>46</v>
      </c>
    </row>
    <row r="51" spans="1:7" x14ac:dyDescent="0.3">
      <c r="A51" s="3">
        <v>699</v>
      </c>
      <c r="B51" s="3">
        <v>3.8</v>
      </c>
      <c r="C51" s="3">
        <v>4100</v>
      </c>
      <c r="F51" s="3" t="s">
        <v>47</v>
      </c>
      <c r="G51" s="3" t="s">
        <v>48</v>
      </c>
    </row>
    <row r="52" spans="1:7" x14ac:dyDescent="0.3">
      <c r="A52" s="3">
        <v>2199</v>
      </c>
      <c r="B52" s="3">
        <v>4.5</v>
      </c>
      <c r="C52" s="3">
        <v>870</v>
      </c>
      <c r="F52" s="3" t="s">
        <v>49</v>
      </c>
      <c r="G52" s="3" t="s">
        <v>50</v>
      </c>
    </row>
    <row r="53" spans="1:7" x14ac:dyDescent="0.3">
      <c r="A53" s="3">
        <v>1499</v>
      </c>
      <c r="B53" s="3">
        <v>4</v>
      </c>
      <c r="C53" s="3">
        <v>1850</v>
      </c>
    </row>
    <row r="57" spans="1:7" ht="36" x14ac:dyDescent="0.3">
      <c r="A57" s="1" t="s">
        <v>51</v>
      </c>
    </row>
    <row r="58" spans="1:7" ht="43.2" x14ac:dyDescent="0.3">
      <c r="A58" s="3" t="s">
        <v>52</v>
      </c>
    </row>
    <row r="61" spans="1:7" ht="36" x14ac:dyDescent="0.3">
      <c r="A61" s="1" t="s">
        <v>53</v>
      </c>
    </row>
    <row r="63" spans="1:7" ht="43.2" x14ac:dyDescent="0.3">
      <c r="A63" s="3" t="s">
        <v>54</v>
      </c>
      <c r="B63" s="3" t="s">
        <v>55</v>
      </c>
    </row>
    <row r="64" spans="1:7" ht="43.2" x14ac:dyDescent="0.3">
      <c r="A64" s="3" t="s">
        <v>56</v>
      </c>
      <c r="B64" s="3" t="s">
        <v>57</v>
      </c>
    </row>
  </sheetData>
  <conditionalFormatting sqref="G50">
    <cfRule type="colorScale" priority="2">
      <colorScale>
        <cfvo type="num" val="0"/>
        <cfvo type="num" val="1"/>
        <color rgb="FFF8696B"/>
        <color rgb="FFF8696B"/>
      </colorScale>
    </cfRule>
  </conditionalFormatting>
  <conditionalFormatting sqref="G51">
    <cfRule type="colorScale" priority="3">
      <colorScale>
        <cfvo type="num" val="0"/>
        <cfvo type="num" val="1"/>
        <color rgb="FFFFEB84"/>
        <color rgb="FFFFEB84"/>
      </colorScale>
    </cfRule>
  </conditionalFormatting>
  <conditionalFormatting sqref="G52">
    <cfRule type="colorScale" priority="4">
      <colorScale>
        <cfvo type="num" val="0"/>
        <cfvo type="num" val="1"/>
        <color rgb="FF63BE7B"/>
        <color rgb="FF63BE7B"/>
      </colorScale>
    </cfRule>
  </conditionalFormatting>
  <conditionalFormatting sqref="G44:I46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/>
  </sheetViews>
  <sheetFormatPr defaultRowHeight="14.4" x14ac:dyDescent="0.3"/>
  <cols>
    <col min="1" max="1" width="58" customWidth="1"/>
    <col min="2" max="2" width="110" customWidth="1"/>
  </cols>
  <sheetData>
    <row r="1" spans="1:2" ht="34.799999999999997" customHeight="1" x14ac:dyDescent="0.3">
      <c r="A1" s="5" t="s">
        <v>58</v>
      </c>
      <c r="B1" s="6"/>
    </row>
    <row r="2" spans="1:2" x14ac:dyDescent="0.3">
      <c r="A2" s="6"/>
      <c r="B2" s="6"/>
    </row>
    <row r="3" spans="1:2" x14ac:dyDescent="0.3">
      <c r="A3" s="7" t="s">
        <v>59</v>
      </c>
      <c r="B3" s="7" t="s">
        <v>60</v>
      </c>
    </row>
    <row r="4" spans="1:2" x14ac:dyDescent="0.3">
      <c r="A4" s="6" t="s">
        <v>61</v>
      </c>
      <c r="B4" s="6" t="s">
        <v>62</v>
      </c>
    </row>
    <row r="5" spans="1:2" x14ac:dyDescent="0.3">
      <c r="A5" s="6" t="s">
        <v>63</v>
      </c>
      <c r="B5" s="6" t="s">
        <v>64</v>
      </c>
    </row>
    <row r="6" spans="1:2" x14ac:dyDescent="0.3">
      <c r="A6" s="6" t="s">
        <v>65</v>
      </c>
      <c r="B6" s="6" t="s">
        <v>66</v>
      </c>
    </row>
    <row r="7" spans="1:2" x14ac:dyDescent="0.3">
      <c r="A7" s="6" t="s">
        <v>67</v>
      </c>
      <c r="B7" s="6" t="s">
        <v>68</v>
      </c>
    </row>
    <row r="8" spans="1:2" x14ac:dyDescent="0.3">
      <c r="A8" s="6" t="s">
        <v>69</v>
      </c>
      <c r="B8" s="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&amp; Answers</vt:lpstr>
      <vt:lpstr>Answer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2026-08-17T07:14:43Z</dcterms:created>
  <dcterms:modified xsi:type="dcterms:W3CDTF">2026-08-17T07:16:42Z</dcterms:modified>
</cp:coreProperties>
</file>