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mir\Downloads\"/>
    </mc:Choice>
  </mc:AlternateContent>
  <xr:revisionPtr revIDLastSave="0" documentId="8_{DE109020-8DC6-498A-8F7E-8BC009211E2E}" xr6:coauthVersionLast="47" xr6:coauthVersionMax="47" xr10:uidLastSave="{00000000-0000-0000-0000-000000000000}"/>
  <bookViews>
    <workbookView xWindow="-108" yWindow="-108" windowWidth="23256" windowHeight="13176" activeTab="1" xr2:uid="{00000000-000D-0000-FFFF-FFFF00000000}"/>
  </bookViews>
  <sheets>
    <sheet name="Tasks &amp; Answers" sheetId="1" r:id="rId1"/>
    <sheet name="Answer Summary" sheetId="2" r:id="rId2"/>
  </sheets>
  <calcPr calcId="191029"/>
</workbook>
</file>

<file path=xl/calcChain.xml><?xml version="1.0" encoding="utf-8"?>
<calcChain xmlns="http://schemas.openxmlformats.org/spreadsheetml/2006/main">
  <c r="B56" i="1" l="1"/>
  <c r="B46" i="1"/>
  <c r="B45" i="1"/>
  <c r="B47" i="1" s="1"/>
  <c r="B26" i="1"/>
  <c r="B27" i="1" s="1"/>
  <c r="B25" i="1"/>
</calcChain>
</file>

<file path=xl/sharedStrings.xml><?xml version="1.0" encoding="utf-8"?>
<sst xmlns="http://schemas.openxmlformats.org/spreadsheetml/2006/main" count="38" uniqueCount="38">
  <si>
    <t>Task 1: Dependent vs Independent Variable</t>
  </si>
  <si>
    <t>Independent Variable</t>
  </si>
  <si>
    <t>Dependent Variable</t>
  </si>
  <si>
    <t>Number of followers</t>
  </si>
  <si>
    <t>Average monthly brand deals</t>
  </si>
  <si>
    <t>Reasoning</t>
  </si>
  <si>
    <t>Number of followers is the independent variable because it is the factor used to explain or predict brand deals. Average monthly brand deals is the dependent variable because its value is expected to change based on the influencer's follower count.</t>
  </si>
  <si>
    <t>Task 2: Myntra Ad Spend vs App Downloads</t>
  </si>
  <si>
    <t>Ad Spend (Lakhs)</t>
  </si>
  <si>
    <t>App Downloads</t>
  </si>
  <si>
    <t>Best-fit line slope</t>
  </si>
  <si>
    <t>Best-fit line intercept</t>
  </si>
  <si>
    <t>Best-fit line equation</t>
  </si>
  <si>
    <t>Task 3: Swiggy Simple Linear Regression</t>
  </si>
  <si>
    <t>Daily Ad Spend (Lakhs)</t>
  </si>
  <si>
    <t>Average Daily Orders</t>
  </si>
  <si>
    <t>Slope (Coefficient)</t>
  </si>
  <si>
    <t>Intercept</t>
  </si>
  <si>
    <t>Regression Equation</t>
  </si>
  <si>
    <t>Meaning of slope</t>
  </si>
  <si>
    <t>For every additional ₹1 lakh spent on ads, predicted average daily orders increase by the slope value.</t>
  </si>
  <si>
    <t>Meaning of intercept</t>
  </si>
  <si>
    <t>The intercept is the predicted average daily orders when daily advertising spend is ₹0 lakh.</t>
  </si>
  <si>
    <t>Task 4: R-squared</t>
  </si>
  <si>
    <t>R-squared (R²)</t>
  </si>
  <si>
    <t>Interpretation</t>
  </si>
  <si>
    <t>R² measures how much of the variation in average daily orders is explained by daily advertising spend. A value closer to 1 indicates a stronger linear relationship and a better fit; a value closer to 0 indicates a weaker relationship.</t>
  </si>
  <si>
    <t>Excel Regression Assignment — Answer Summary</t>
  </si>
  <si>
    <t>Task</t>
  </si>
  <si>
    <t>Answer</t>
  </si>
  <si>
    <t>1</t>
  </si>
  <si>
    <t>Independent = followers; Dependent = average monthly brand deals.</t>
  </si>
  <si>
    <t>2</t>
  </si>
  <si>
    <t>Scatter plot with a linear best-fit trendline is included in the Tasks &amp; Answers sheet.</t>
  </si>
  <si>
    <t>3</t>
  </si>
  <si>
    <t>Slope ≈ 142.10 orders per ₹1 lakh; Intercept ≈ 557.14 orders.</t>
  </si>
  <si>
    <t>4</t>
  </si>
  <si>
    <t>R² ≈ 0.9990, indicating a very strong linear relationship in this sample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</si>
</sst>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b/>
      <sz val="11"/>
      <color rgb="FFFFFFFF"/>
      <name val="Calibri"/>
    </font>
    <font>
      <b/>
      <sz val="11"/>
      <name val="Calibri"/>
    </font>
    <font>
      <b/>
      <sz val="16"/>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B7B7"/>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0" borderId="1" xfId="0" applyBorder="1" applyAlignment="1">
      <alignment vertical="top" wrapText="1"/>
    </xf>
    <xf numFmtId="0" fontId="4" fillId="0" borderId="0" xfId="0" applyFont="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Myntra Ad Spend vs App Downloads</a:t>
            </a:r>
          </a:p>
        </c:rich>
      </c:tx>
      <c:overlay val="1"/>
    </c:title>
    <c:autoTitleDeleted val="0"/>
    <c:plotArea>
      <c:layout/>
      <c:scatterChart>
        <c:scatterStyle val="lineMarker"/>
        <c:varyColors val="1"/>
        <c:ser>
          <c:idx val="0"/>
          <c:order val="0"/>
          <c:tx>
            <c:v>Myntra</c:v>
          </c:tx>
          <c:spPr>
            <a:ln>
              <a:noFill/>
              <a:prstDash val="solid"/>
            </a:ln>
          </c:spPr>
          <c:marker>
            <c:symbol val="circle"/>
            <c:size val="7"/>
            <c:spPr>
              <a:ln>
                <a:prstDash val="solid"/>
              </a:ln>
            </c:spPr>
          </c:marker>
          <c:trendline>
            <c:trendlineType val="linear"/>
            <c:dispRSqr val="1"/>
            <c:dispEq val="1"/>
            <c:trendlineLbl>
              <c:numFmt formatCode="General" sourceLinked="0"/>
            </c:trendlineLbl>
          </c:trendline>
          <c:xVal>
            <c:numRef>
              <c:f>'Tasks &amp; Answers'!$A$13:$A$22</c:f>
              <c:numCache>
                <c:formatCode>General</c:formatCode>
                <c:ptCount val="10"/>
                <c:pt idx="0">
                  <c:v>5</c:v>
                </c:pt>
                <c:pt idx="1">
                  <c:v>8</c:v>
                </c:pt>
                <c:pt idx="2">
                  <c:v>10</c:v>
                </c:pt>
                <c:pt idx="3">
                  <c:v>12</c:v>
                </c:pt>
                <c:pt idx="4">
                  <c:v>15</c:v>
                </c:pt>
                <c:pt idx="5">
                  <c:v>18</c:v>
                </c:pt>
                <c:pt idx="6">
                  <c:v>20</c:v>
                </c:pt>
                <c:pt idx="7">
                  <c:v>23</c:v>
                </c:pt>
                <c:pt idx="8">
                  <c:v>25</c:v>
                </c:pt>
                <c:pt idx="9">
                  <c:v>28</c:v>
                </c:pt>
              </c:numCache>
            </c:numRef>
          </c:xVal>
          <c:yVal>
            <c:numRef>
              <c:f>'Tasks &amp; Answers'!$B$13:$B$22</c:f>
              <c:numCache>
                <c:formatCode>General</c:formatCode>
                <c:ptCount val="10"/>
                <c:pt idx="0">
                  <c:v>12000</c:v>
                </c:pt>
                <c:pt idx="1">
                  <c:v>18500</c:v>
                </c:pt>
                <c:pt idx="2">
                  <c:v>22000</c:v>
                </c:pt>
                <c:pt idx="3">
                  <c:v>26000</c:v>
                </c:pt>
                <c:pt idx="4">
                  <c:v>31500</c:v>
                </c:pt>
                <c:pt idx="5">
                  <c:v>36500</c:v>
                </c:pt>
                <c:pt idx="6">
                  <c:v>41000</c:v>
                </c:pt>
                <c:pt idx="7">
                  <c:v>45500</c:v>
                </c:pt>
                <c:pt idx="8">
                  <c:v>50000</c:v>
                </c:pt>
                <c:pt idx="9">
                  <c:v>56000</c:v>
                </c:pt>
              </c:numCache>
            </c:numRef>
          </c:yVal>
          <c:smooth val="1"/>
          <c:extLst>
            <c:ext xmlns:c16="http://schemas.microsoft.com/office/drawing/2014/chart" uri="{C3380CC4-5D6E-409C-BE32-E72D297353CC}">
              <c16:uniqueId val="{00000001-E501-4ED3-AC5F-5A3D692251F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IN"/>
                  <a:t>Ad Spend (Lakhs)</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IN"/>
                  <a:t>App Downloads</a:t>
                </a:r>
              </a:p>
            </c:rich>
          </c:tx>
          <c:overlay val="1"/>
        </c:title>
        <c:numFmt formatCode="General"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9</xdr:row>
      <xdr:rowOff>0</xdr:rowOff>
    </xdr:from>
    <xdr:ext cx="540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
  <sheetViews>
    <sheetView workbookViewId="0"/>
  </sheetViews>
  <sheetFormatPr defaultRowHeight="14.4" x14ac:dyDescent="0.3"/>
  <cols>
    <col min="1" max="1" width="30" customWidth="1"/>
    <col min="2" max="2" width="70" customWidth="1"/>
    <col min="3" max="3" width="4" customWidth="1"/>
    <col min="4" max="5" width="20" customWidth="1"/>
  </cols>
  <sheetData>
    <row r="1" spans="1:2" ht="36" x14ac:dyDescent="0.3">
      <c r="A1" s="1" t="s">
        <v>0</v>
      </c>
    </row>
    <row r="3" spans="1:2" x14ac:dyDescent="0.3">
      <c r="A3" s="2" t="s">
        <v>1</v>
      </c>
      <c r="B3" s="2" t="s">
        <v>2</v>
      </c>
    </row>
    <row r="4" spans="1:2" x14ac:dyDescent="0.3">
      <c r="A4" s="3" t="s">
        <v>3</v>
      </c>
      <c r="B4" s="3" t="s">
        <v>4</v>
      </c>
    </row>
    <row r="6" spans="1:2" x14ac:dyDescent="0.3">
      <c r="A6" s="4" t="s">
        <v>5</v>
      </c>
    </row>
    <row r="7" spans="1:2" ht="115.2" x14ac:dyDescent="0.3">
      <c r="A7" s="3" t="s">
        <v>6</v>
      </c>
    </row>
    <row r="10" spans="1:2" ht="36" x14ac:dyDescent="0.3">
      <c r="A10" s="1" t="s">
        <v>7</v>
      </c>
    </row>
    <row r="12" spans="1:2" x14ac:dyDescent="0.3">
      <c r="A12" s="2" t="s">
        <v>8</v>
      </c>
      <c r="B12" s="2" t="s">
        <v>9</v>
      </c>
    </row>
    <row r="13" spans="1:2" x14ac:dyDescent="0.3">
      <c r="A13" s="3">
        <v>5</v>
      </c>
      <c r="B13" s="3">
        <v>12000</v>
      </c>
    </row>
    <row r="14" spans="1:2" x14ac:dyDescent="0.3">
      <c r="A14" s="3">
        <v>8</v>
      </c>
      <c r="B14" s="3">
        <v>18500</v>
      </c>
    </row>
    <row r="15" spans="1:2" x14ac:dyDescent="0.3">
      <c r="A15" s="3">
        <v>10</v>
      </c>
      <c r="B15" s="3">
        <v>22000</v>
      </c>
    </row>
    <row r="16" spans="1:2" x14ac:dyDescent="0.3">
      <c r="A16" s="3">
        <v>12</v>
      </c>
      <c r="B16" s="3">
        <v>26000</v>
      </c>
    </row>
    <row r="17" spans="1:2" x14ac:dyDescent="0.3">
      <c r="A17" s="3">
        <v>15</v>
      </c>
      <c r="B17" s="3">
        <v>31500</v>
      </c>
    </row>
    <row r="18" spans="1:2" x14ac:dyDescent="0.3">
      <c r="A18" s="3">
        <v>18</v>
      </c>
      <c r="B18" s="3">
        <v>36500</v>
      </c>
    </row>
    <row r="19" spans="1:2" x14ac:dyDescent="0.3">
      <c r="A19" s="3">
        <v>20</v>
      </c>
      <c r="B19" s="3">
        <v>41000</v>
      </c>
    </row>
    <row r="20" spans="1:2" x14ac:dyDescent="0.3">
      <c r="A20" s="3">
        <v>23</v>
      </c>
      <c r="B20" s="3">
        <v>45500</v>
      </c>
    </row>
    <row r="21" spans="1:2" x14ac:dyDescent="0.3">
      <c r="A21" s="3">
        <v>25</v>
      </c>
      <c r="B21" s="3">
        <v>50000</v>
      </c>
    </row>
    <row r="22" spans="1:2" x14ac:dyDescent="0.3">
      <c r="A22" s="3">
        <v>28</v>
      </c>
      <c r="B22" s="3">
        <v>56000</v>
      </c>
    </row>
    <row r="25" spans="1:2" x14ac:dyDescent="0.3">
      <c r="A25" s="3" t="s">
        <v>10</v>
      </c>
      <c r="B25" s="3">
        <f>SLOPE(B13:B22,A13:A22)</f>
        <v>1874.8114630467574</v>
      </c>
    </row>
    <row r="26" spans="1:2" x14ac:dyDescent="0.3">
      <c r="A26" s="3" t="s">
        <v>11</v>
      </c>
      <c r="B26" s="3">
        <f>INTERCEPT(B13:B22,A13:A22)</f>
        <v>3153.092006033181</v>
      </c>
    </row>
    <row r="27" spans="1:2" x14ac:dyDescent="0.3">
      <c r="A27" s="3" t="s">
        <v>12</v>
      </c>
      <c r="B27" s="3" t="str">
        <f>"y = "&amp;TEXT(B25,"0.00")&amp;"x + "&amp;TEXT(B26,"0.00")</f>
        <v>y = 1874.81x + 3153.09</v>
      </c>
    </row>
    <row r="30" spans="1:2" ht="36" x14ac:dyDescent="0.3">
      <c r="A30" s="1" t="s">
        <v>13</v>
      </c>
    </row>
    <row r="32" spans="1:2" x14ac:dyDescent="0.3">
      <c r="A32" s="2" t="s">
        <v>14</v>
      </c>
      <c r="B32" s="2" t="s">
        <v>15</v>
      </c>
    </row>
    <row r="33" spans="1:2" x14ac:dyDescent="0.3">
      <c r="A33" s="3">
        <v>2</v>
      </c>
      <c r="B33" s="3">
        <v>850</v>
      </c>
    </row>
    <row r="34" spans="1:2" x14ac:dyDescent="0.3">
      <c r="A34" s="3">
        <v>3</v>
      </c>
      <c r="B34" s="3">
        <v>980</v>
      </c>
    </row>
    <row r="35" spans="1:2" x14ac:dyDescent="0.3">
      <c r="A35" s="3">
        <v>4</v>
      </c>
      <c r="B35" s="3">
        <v>1120</v>
      </c>
    </row>
    <row r="36" spans="1:2" x14ac:dyDescent="0.3">
      <c r="A36" s="3">
        <v>5</v>
      </c>
      <c r="B36" s="3">
        <v>1280</v>
      </c>
    </row>
    <row r="37" spans="1:2" x14ac:dyDescent="0.3">
      <c r="A37" s="3">
        <v>6</v>
      </c>
      <c r="B37" s="3">
        <v>1390</v>
      </c>
    </row>
    <row r="38" spans="1:2" x14ac:dyDescent="0.3">
      <c r="A38" s="3">
        <v>7</v>
      </c>
      <c r="B38" s="3">
        <v>1550</v>
      </c>
    </row>
    <row r="39" spans="1:2" x14ac:dyDescent="0.3">
      <c r="A39" s="3">
        <v>8</v>
      </c>
      <c r="B39" s="3">
        <v>1690</v>
      </c>
    </row>
    <row r="40" spans="1:2" x14ac:dyDescent="0.3">
      <c r="A40" s="3">
        <v>9</v>
      </c>
      <c r="B40" s="3">
        <v>1830</v>
      </c>
    </row>
    <row r="41" spans="1:2" x14ac:dyDescent="0.3">
      <c r="A41" s="3">
        <v>10</v>
      </c>
      <c r="B41" s="3">
        <v>2010</v>
      </c>
    </row>
    <row r="42" spans="1:2" x14ac:dyDescent="0.3">
      <c r="A42" s="3">
        <v>12</v>
      </c>
      <c r="B42" s="3">
        <v>2250</v>
      </c>
    </row>
    <row r="45" spans="1:2" x14ac:dyDescent="0.3">
      <c r="A45" s="3" t="s">
        <v>16</v>
      </c>
      <c r="B45" s="3">
        <f>SLOPE(B33:B42,A33:A42)</f>
        <v>142.09956709956708</v>
      </c>
    </row>
    <row r="46" spans="1:2" x14ac:dyDescent="0.3">
      <c r="A46" s="3" t="s">
        <v>17</v>
      </c>
      <c r="B46" s="3">
        <f>INTERCEPT(B33:B42,A33:A42)</f>
        <v>557.14285714285734</v>
      </c>
    </row>
    <row r="47" spans="1:2" x14ac:dyDescent="0.3">
      <c r="A47" s="3" t="s">
        <v>18</v>
      </c>
      <c r="B47" s="3" t="str">
        <f>"Orders = "&amp;TEXT(B45,"0.00")&amp;" × Ad Spend + "&amp;TEXT(B46,"0.00")</f>
        <v>Orders = 142.10 × Ad Spend + 557.14</v>
      </c>
    </row>
    <row r="49" spans="1:2" ht="28.8" x14ac:dyDescent="0.3">
      <c r="A49" s="3" t="s">
        <v>19</v>
      </c>
      <c r="B49" s="3" t="s">
        <v>20</v>
      </c>
    </row>
    <row r="50" spans="1:2" ht="28.8" x14ac:dyDescent="0.3">
      <c r="A50" s="3" t="s">
        <v>21</v>
      </c>
      <c r="B50" s="3" t="s">
        <v>22</v>
      </c>
    </row>
    <row r="54" spans="1:2" ht="18" x14ac:dyDescent="0.3">
      <c r="A54" s="1" t="s">
        <v>23</v>
      </c>
    </row>
    <row r="56" spans="1:2" x14ac:dyDescent="0.3">
      <c r="A56" s="5" t="s">
        <v>24</v>
      </c>
      <c r="B56" s="5">
        <f>RSQ(B33:B42,A33:A42)</f>
        <v>0.99899195032116073</v>
      </c>
    </row>
    <row r="57" spans="1:2" ht="43.2" x14ac:dyDescent="0.3">
      <c r="A57" s="3" t="s">
        <v>25</v>
      </c>
      <c r="B57" s="3" t="s">
        <v>26</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sheetViews>
  <sheetFormatPr defaultRowHeight="14.4" x14ac:dyDescent="0.3"/>
  <cols>
    <col min="1" max="1" width="95.33203125" customWidth="1"/>
    <col min="2" max="2" width="100" customWidth="1"/>
  </cols>
  <sheetData>
    <row r="1" spans="1:2" ht="210" x14ac:dyDescent="0.3">
      <c r="A1" s="6" t="s">
        <v>27</v>
      </c>
      <c r="B1" s="3"/>
    </row>
    <row r="2" spans="1:2" x14ac:dyDescent="0.3">
      <c r="A2" s="3"/>
      <c r="B2" s="3"/>
    </row>
    <row r="3" spans="1:2" x14ac:dyDescent="0.3">
      <c r="A3" s="7" t="s">
        <v>28</v>
      </c>
      <c r="B3" s="7" t="s">
        <v>29</v>
      </c>
    </row>
    <row r="4" spans="1:2" x14ac:dyDescent="0.3">
      <c r="A4" s="3" t="s">
        <v>30</v>
      </c>
      <c r="B4" s="3" t="s">
        <v>31</v>
      </c>
    </row>
    <row r="5" spans="1:2" x14ac:dyDescent="0.3">
      <c r="A5" s="3" t="s">
        <v>32</v>
      </c>
      <c r="B5" s="3" t="s">
        <v>33</v>
      </c>
    </row>
    <row r="6" spans="1:2" x14ac:dyDescent="0.3">
      <c r="A6" s="3" t="s">
        <v>34</v>
      </c>
      <c r="B6" s="3" t="s">
        <v>35</v>
      </c>
    </row>
    <row r="7" spans="1:2" x14ac:dyDescent="0.3">
      <c r="A7" s="3" t="s">
        <v>36</v>
      </c>
      <c r="B7" s="3"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 &amp; Answers</vt:lpstr>
      <vt:lpstr>Answer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samir kayat</cp:lastModifiedBy>
  <dcterms:created xsi:type="dcterms:W3CDTF">2026-08-17T07:11:42Z</dcterms:created>
  <dcterms:modified xsi:type="dcterms:W3CDTF">2026-08-17T07:13:14Z</dcterms:modified>
</cp:coreProperties>
</file>