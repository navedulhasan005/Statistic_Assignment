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695d95feda7846d7/Documents/Statistics_Assignment/"/>
    </mc:Choice>
  </mc:AlternateContent>
  <xr:revisionPtr revIDLastSave="0" documentId="8_{91778587-6E44-4B45-89E6-13CB25530518}" xr6:coauthVersionLast="47" xr6:coauthVersionMax="47" xr10:uidLastSave="{00000000-0000-0000-0000-000000000000}"/>
  <bookViews>
    <workbookView xWindow="-110" yWindow="-110" windowWidth="19420" windowHeight="10420" activeTab="4" xr2:uid="{00000000-000D-0000-FFFF-FFFF00000000}"/>
  </bookViews>
  <sheets>
    <sheet name="Percentiles" sheetId="2" r:id="rId1"/>
    <sheet name="IPL Quartiles" sheetId="3" r:id="rId2"/>
    <sheet name="Steps IQR" sheetId="4" r:id="rId3"/>
    <sheet name="Swiggy Outliers" sheetId="5" r:id="rId4"/>
    <sheet name="Screen Time Boxplot" sheetId="6" r:id="rId5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" i="6" l="1"/>
  <c r="E4" i="6"/>
  <c r="F6" i="5"/>
  <c r="F5" i="5"/>
  <c r="F4" i="5"/>
  <c r="F3" i="5"/>
  <c r="E4" i="4"/>
  <c r="E3" i="4"/>
  <c r="E5" i="3"/>
  <c r="E4" i="3"/>
  <c r="E3" i="3"/>
  <c r="E3" i="2"/>
  <c r="E5" i="2"/>
  <c r="E4" i="2"/>
  <c r="E7" i="6"/>
  <c r="E10" i="6"/>
  <c r="E5" i="6"/>
  <c r="E3" i="6"/>
  <c r="C3" i="5" l="1"/>
  <c r="C22" i="5"/>
  <c r="E5" i="4"/>
  <c r="E6" i="4" s="1"/>
  <c r="E8" i="6"/>
  <c r="F7" i="5"/>
  <c r="C24" i="5"/>
  <c r="C9" i="5"/>
  <c r="C13" i="5"/>
  <c r="C21" i="5"/>
  <c r="C5" i="5"/>
  <c r="C10" i="5"/>
  <c r="C18" i="5"/>
  <c r="C11" i="5"/>
  <c r="C15" i="5"/>
  <c r="C19" i="5"/>
  <c r="C23" i="5"/>
  <c r="E9" i="6"/>
  <c r="C17" i="5"/>
  <c r="C7" i="5"/>
  <c r="C14" i="5"/>
  <c r="C4" i="5"/>
  <c r="C6" i="5"/>
  <c r="C8" i="5"/>
  <c r="C12" i="5"/>
  <c r="C16" i="5"/>
  <c r="C20" i="5"/>
</calcChain>
</file>

<file path=xl/sharedStrings.xml><?xml version="1.0" encoding="utf-8"?>
<sst xmlns="http://schemas.openxmlformats.org/spreadsheetml/2006/main" count="81" uniqueCount="70">
  <si>
    <t>1. Zomato Delivery Times</t>
  </si>
  <si>
    <t>Order</t>
  </si>
  <si>
    <t>Delivery Time (min)</t>
  </si>
  <si>
    <t>Percentile</t>
  </si>
  <si>
    <t>Excel Formula</t>
  </si>
  <si>
    <t>P25</t>
  </si>
  <si>
    <t>P50</t>
  </si>
  <si>
    <t>P75</t>
  </si>
  <si>
    <t>2. IPL Player Scores</t>
  </si>
  <si>
    <t>Player</t>
  </si>
  <si>
    <t>Score</t>
  </si>
  <si>
    <t>Quartile</t>
  </si>
  <si>
    <t>Excel Formula / Result</t>
  </si>
  <si>
    <t>Virat Kohli</t>
  </si>
  <si>
    <t>Q1</t>
  </si>
  <si>
    <t>Rohit Sharma</t>
  </si>
  <si>
    <t>Q2 (Median)</t>
  </si>
  <si>
    <t>Shubman Gill</t>
  </si>
  <si>
    <t>Q3</t>
  </si>
  <si>
    <t>Suryakumar Yadav</t>
  </si>
  <si>
    <t>Hardik Pandya</t>
  </si>
  <si>
    <t>Rishabh Pant</t>
  </si>
  <si>
    <t>Jasprit Bumrah</t>
  </si>
  <si>
    <t>Ravindra Jadeja</t>
  </si>
  <si>
    <t>KL Rahul</t>
  </si>
  <si>
    <t>Yashasvi Jaiswal</t>
  </si>
  <si>
    <t>Shreyas Iyer</t>
  </si>
  <si>
    <t>Rinku Singh</t>
  </si>
  <si>
    <t>Sanju Samson</t>
  </si>
  <si>
    <t>Axar Patel</t>
  </si>
  <si>
    <t>Kuldeep Yadav</t>
  </si>
  <si>
    <t>Mohammed Siraj</t>
  </si>
  <si>
    <t>Ishan Kishan</t>
  </si>
  <si>
    <t>Ruturaj Gaikwad</t>
  </si>
  <si>
    <t>Arshdeep Singh</t>
  </si>
  <si>
    <t>Washington Sundar</t>
  </si>
  <si>
    <t>3. Daily Step Counts - One Month</t>
  </si>
  <si>
    <t>Day</t>
  </si>
  <si>
    <t>Steps</t>
  </si>
  <si>
    <t>Metric</t>
  </si>
  <si>
    <t>Formula / Result</t>
  </si>
  <si>
    <t>IQR</t>
  </si>
  <si>
    <t>Consistency Interpretation</t>
  </si>
  <si>
    <t>4. Swiggy Order Amounts - IQR Outlier Detection</t>
  </si>
  <si>
    <t>Amount (₹)</t>
  </si>
  <si>
    <t>Outlier?</t>
  </si>
  <si>
    <t>Value</t>
  </si>
  <si>
    <t>Lower Bound</t>
  </si>
  <si>
    <t>Upper Bound</t>
  </si>
  <si>
    <t>Outlier Values</t>
  </si>
  <si>
    <t>5. Weekly Screen Time - Past 8 Weeks</t>
  </si>
  <si>
    <t>Week</t>
  </si>
  <si>
    <t>Screen Time (hours)</t>
  </si>
  <si>
    <t>Boxplot Statistic</t>
  </si>
  <si>
    <t>Week 1</t>
  </si>
  <si>
    <t>Minimum</t>
  </si>
  <si>
    <t>Week 2</t>
  </si>
  <si>
    <t>Week 3</t>
  </si>
  <si>
    <t>Median</t>
  </si>
  <si>
    <t>Week 4</t>
  </si>
  <si>
    <t>Week 5</t>
  </si>
  <si>
    <t>Maximum</t>
  </si>
  <si>
    <t>Week 6</t>
  </si>
  <si>
    <t>Week 7</t>
  </si>
  <si>
    <t>Lower Fence</t>
  </si>
  <si>
    <t>Week 8</t>
  </si>
  <si>
    <t>Upper Fence</t>
  </si>
  <si>
    <t>Outlier(s)</t>
  </si>
  <si>
    <t>Note</t>
  </si>
  <si>
    <t>Excel does not have a native boxplot formula output in a normal worksheet. The sheet provides the five-number summary, IQR fences, and an Excel Box &amp; Whisker chart for the 8 weeks.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</si>
</sst>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2" borderId="0" xfId="0" applyFont="1" applyFill="1" applyAlignment="1">
      <alignment vertical="center"/>
    </xf>
  </cellXfs>
  <cellStyles count="1">
    <cellStyle name="Normal" xfId="0" builtinId="0"/>
  </cellStyles>
  <dxfs count="1">
    <dxf>
      <fill>
        <patternFill patternType="solid">
          <fgColor rgb="FFF4CC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Weekly Screen Time (Hours)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'Screen Time Boxplot'!$B$2</c:f>
              <c:strCache>
                <c:ptCount val="1"/>
                <c:pt idx="0">
                  <c:v>Screen Time (hours)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'Screen Time Boxplot'!$A$3:$A$10</c:f>
              <c:strCache>
                <c:ptCount val="8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</c:strCache>
            </c:strRef>
          </c:cat>
          <c:val>
            <c:numRef>
              <c:f>'Screen Time Boxplot'!$B$3:$B$10</c:f>
              <c:numCache>
                <c:formatCode>General</c:formatCode>
                <c:ptCount val="8"/>
                <c:pt idx="0">
                  <c:v>32</c:v>
                </c:pt>
                <c:pt idx="1">
                  <c:v>35</c:v>
                </c:pt>
                <c:pt idx="2">
                  <c:v>29</c:v>
                </c:pt>
                <c:pt idx="3">
                  <c:v>41</c:v>
                </c:pt>
                <c:pt idx="4">
                  <c:v>38</c:v>
                </c:pt>
                <c:pt idx="5">
                  <c:v>36</c:v>
                </c:pt>
                <c:pt idx="6">
                  <c:v>55</c:v>
                </c:pt>
                <c:pt idx="7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4F-4FF5-94BF-7DBF66FCA1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Week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Hours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2"/>
  <sheetViews>
    <sheetView workbookViewId="0">
      <pane ySplit="2" topLeftCell="A3" activePane="bottomLeft" state="frozen"/>
      <selection pane="bottomLeft" activeCell="A3" sqref="A3"/>
    </sheetView>
  </sheetViews>
  <sheetFormatPr defaultRowHeight="14.5" x14ac:dyDescent="0.35"/>
  <cols>
    <col min="1" max="1" width="26" customWidth="1"/>
    <col min="2" max="2" width="21" customWidth="1"/>
    <col min="3" max="4" width="12" customWidth="1"/>
    <col min="5" max="5" width="32" customWidth="1"/>
  </cols>
  <sheetData>
    <row r="1" spans="1:5" ht="18.5" x14ac:dyDescent="0.35">
      <c r="A1" s="1" t="s">
        <v>0</v>
      </c>
      <c r="B1" s="2"/>
      <c r="C1" s="2"/>
      <c r="D1" s="2"/>
      <c r="E1" s="2"/>
    </row>
    <row r="2" spans="1:5" x14ac:dyDescent="0.35">
      <c r="A2" s="3" t="s">
        <v>1</v>
      </c>
      <c r="B2" s="3" t="s">
        <v>2</v>
      </c>
      <c r="C2" s="2"/>
      <c r="D2" s="3" t="s">
        <v>3</v>
      </c>
      <c r="E2" s="3" t="s">
        <v>4</v>
      </c>
    </row>
    <row r="3" spans="1:5" x14ac:dyDescent="0.35">
      <c r="A3" s="2">
        <v>1</v>
      </c>
      <c r="B3" s="2">
        <v>28</v>
      </c>
      <c r="C3" s="2"/>
      <c r="D3" s="2" t="s">
        <v>5</v>
      </c>
      <c r="E3" s="2">
        <f>_xlfn.PERCENTILE.INC($B$3:$B$23,0.25)</f>
        <v>32.5</v>
      </c>
    </row>
    <row r="4" spans="1:5" x14ac:dyDescent="0.35">
      <c r="A4" s="2">
        <v>2</v>
      </c>
      <c r="B4" s="2">
        <v>35</v>
      </c>
      <c r="C4" s="2"/>
      <c r="D4" s="2" t="s">
        <v>6</v>
      </c>
      <c r="E4" s="2">
        <f>_xlfn.PERCENTILE.INC($B$3:$B$23,0.5)</f>
        <v>38.5</v>
      </c>
    </row>
    <row r="5" spans="1:5" x14ac:dyDescent="0.35">
      <c r="A5" s="2">
        <v>3</v>
      </c>
      <c r="B5" s="2">
        <v>42</v>
      </c>
      <c r="C5" s="2"/>
      <c r="D5" s="2" t="s">
        <v>7</v>
      </c>
      <c r="E5" s="2">
        <f>_xlfn.PERCENTILE.INC($B$3:$B$23,0.75)</f>
        <v>46.5</v>
      </c>
    </row>
    <row r="6" spans="1:5" x14ac:dyDescent="0.35">
      <c r="A6" s="2">
        <v>4</v>
      </c>
      <c r="B6" s="2">
        <v>25</v>
      </c>
      <c r="C6" s="2"/>
      <c r="D6" s="2"/>
      <c r="E6" s="2"/>
    </row>
    <row r="7" spans="1:5" x14ac:dyDescent="0.35">
      <c r="A7" s="2">
        <v>5</v>
      </c>
      <c r="B7" s="2">
        <v>31</v>
      </c>
      <c r="C7" s="2"/>
      <c r="D7" s="2"/>
      <c r="E7" s="2"/>
    </row>
    <row r="8" spans="1:5" x14ac:dyDescent="0.35">
      <c r="A8" s="2">
        <v>6</v>
      </c>
      <c r="B8" s="2">
        <v>55</v>
      </c>
      <c r="C8" s="2"/>
      <c r="D8" s="2"/>
      <c r="E8" s="2"/>
    </row>
    <row r="9" spans="1:5" x14ac:dyDescent="0.35">
      <c r="A9" s="2">
        <v>7</v>
      </c>
      <c r="B9" s="2">
        <v>48</v>
      </c>
      <c r="C9" s="2"/>
      <c r="D9" s="2"/>
      <c r="E9" s="2"/>
    </row>
    <row r="10" spans="1:5" x14ac:dyDescent="0.35">
      <c r="A10" s="2">
        <v>8</v>
      </c>
      <c r="B10" s="2">
        <v>37</v>
      </c>
      <c r="C10" s="2"/>
      <c r="D10" s="2"/>
      <c r="E10" s="2"/>
    </row>
    <row r="11" spans="1:5" x14ac:dyDescent="0.35">
      <c r="A11" s="2">
        <v>9</v>
      </c>
      <c r="B11" s="2">
        <v>29</v>
      </c>
      <c r="C11" s="2"/>
      <c r="D11" s="2"/>
      <c r="E11" s="2"/>
    </row>
    <row r="12" spans="1:5" x14ac:dyDescent="0.35">
      <c r="A12" s="2">
        <v>10</v>
      </c>
      <c r="B12" s="2">
        <v>44</v>
      </c>
      <c r="C12" s="2"/>
      <c r="D12" s="2"/>
      <c r="E12" s="2"/>
    </row>
    <row r="13" spans="1:5" x14ac:dyDescent="0.35">
      <c r="A13" s="2">
        <v>11</v>
      </c>
      <c r="B13" s="2">
        <v>60</v>
      </c>
      <c r="C13" s="2"/>
      <c r="D13" s="2"/>
      <c r="E13" s="2"/>
    </row>
    <row r="14" spans="1:5" x14ac:dyDescent="0.35">
      <c r="A14" s="2">
        <v>12</v>
      </c>
      <c r="B14" s="2">
        <v>33</v>
      </c>
      <c r="C14" s="2"/>
      <c r="D14" s="2"/>
      <c r="E14" s="2"/>
    </row>
    <row r="15" spans="1:5" x14ac:dyDescent="0.35">
      <c r="A15" s="2">
        <v>13</v>
      </c>
      <c r="B15" s="2">
        <v>39</v>
      </c>
      <c r="C15" s="2"/>
      <c r="D15" s="2"/>
      <c r="E15" s="2"/>
    </row>
    <row r="16" spans="1:5" x14ac:dyDescent="0.35">
      <c r="A16" s="2">
        <v>14</v>
      </c>
      <c r="B16" s="2">
        <v>52</v>
      </c>
      <c r="C16" s="2"/>
      <c r="D16" s="2"/>
      <c r="E16" s="2"/>
    </row>
    <row r="17" spans="1:5" x14ac:dyDescent="0.35">
      <c r="A17" s="2">
        <v>15</v>
      </c>
      <c r="B17" s="2">
        <v>41</v>
      </c>
      <c r="C17" s="2"/>
      <c r="D17" s="2"/>
      <c r="E17" s="2"/>
    </row>
    <row r="18" spans="1:5" x14ac:dyDescent="0.35">
      <c r="A18" s="2">
        <v>16</v>
      </c>
      <c r="B18" s="2">
        <v>27</v>
      </c>
      <c r="C18" s="2"/>
      <c r="D18" s="2"/>
      <c r="E18" s="2"/>
    </row>
    <row r="19" spans="1:5" x14ac:dyDescent="0.35">
      <c r="A19" s="2">
        <v>17</v>
      </c>
      <c r="B19" s="2">
        <v>46</v>
      </c>
      <c r="C19" s="2"/>
      <c r="D19" s="2"/>
      <c r="E19" s="2"/>
    </row>
    <row r="20" spans="1:5" x14ac:dyDescent="0.35">
      <c r="A20" s="2">
        <v>18</v>
      </c>
      <c r="B20" s="2">
        <v>34</v>
      </c>
      <c r="C20" s="2"/>
      <c r="D20" s="2"/>
      <c r="E20" s="2"/>
    </row>
    <row r="21" spans="1:5" x14ac:dyDescent="0.35">
      <c r="A21" s="2">
        <v>19</v>
      </c>
      <c r="B21" s="2">
        <v>50</v>
      </c>
      <c r="C21" s="2"/>
      <c r="D21" s="2"/>
      <c r="E21" s="2"/>
    </row>
    <row r="22" spans="1:5" x14ac:dyDescent="0.35">
      <c r="A22" s="2">
        <v>20</v>
      </c>
      <c r="B22" s="2">
        <v>38</v>
      </c>
      <c r="C22" s="2"/>
      <c r="D22" s="2"/>
      <c r="E22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2"/>
  <sheetViews>
    <sheetView workbookViewId="0">
      <pane ySplit="2" topLeftCell="A3" activePane="bottomLeft" state="frozen"/>
      <selection pane="bottomLeft" activeCell="D8" sqref="D8"/>
    </sheetView>
  </sheetViews>
  <sheetFormatPr defaultRowHeight="14.5" x14ac:dyDescent="0.35"/>
  <cols>
    <col min="1" max="1" width="22" customWidth="1"/>
    <col min="2" max="3" width="12" customWidth="1"/>
    <col min="4" max="4" width="13" customWidth="1"/>
    <col min="5" max="5" width="25" customWidth="1"/>
  </cols>
  <sheetData>
    <row r="1" spans="1:5" ht="18.5" x14ac:dyDescent="0.35">
      <c r="A1" s="1" t="s">
        <v>8</v>
      </c>
      <c r="B1" s="2"/>
      <c r="C1" s="2"/>
      <c r="D1" s="2"/>
      <c r="E1" s="2"/>
    </row>
    <row r="2" spans="1:5" x14ac:dyDescent="0.35">
      <c r="A2" s="3" t="s">
        <v>9</v>
      </c>
      <c r="B2" s="3" t="s">
        <v>10</v>
      </c>
      <c r="C2" s="2"/>
      <c r="D2" s="3" t="s">
        <v>11</v>
      </c>
      <c r="E2" s="3" t="s">
        <v>12</v>
      </c>
    </row>
    <row r="3" spans="1:5" x14ac:dyDescent="0.35">
      <c r="A3" s="2" t="s">
        <v>13</v>
      </c>
      <c r="B3" s="2">
        <v>92</v>
      </c>
      <c r="C3" s="2"/>
      <c r="D3" s="2" t="s">
        <v>14</v>
      </c>
      <c r="E3" s="2">
        <f>_xlfn.QUARTILE.INC(B3:B22,1)</f>
        <v>47.25</v>
      </c>
    </row>
    <row r="4" spans="1:5" x14ac:dyDescent="0.35">
      <c r="A4" s="2" t="s">
        <v>15</v>
      </c>
      <c r="B4" s="2">
        <v>78</v>
      </c>
      <c r="C4" s="2"/>
      <c r="D4" s="2" t="s">
        <v>16</v>
      </c>
      <c r="E4" s="2">
        <f>_xlfn.QUARTILE.INC(B3:B22,2)</f>
        <v>67</v>
      </c>
    </row>
    <row r="5" spans="1:5" x14ac:dyDescent="0.35">
      <c r="A5" s="2" t="s">
        <v>17</v>
      </c>
      <c r="B5" s="2">
        <v>65</v>
      </c>
      <c r="C5" s="2"/>
      <c r="D5" s="2" t="s">
        <v>18</v>
      </c>
      <c r="E5" s="2">
        <f>_xlfn.QUARTILE.INC(B3:B22,3)</f>
        <v>89</v>
      </c>
    </row>
    <row r="6" spans="1:5" x14ac:dyDescent="0.35">
      <c r="A6" s="2" t="s">
        <v>19</v>
      </c>
      <c r="B6" s="2">
        <v>110</v>
      </c>
      <c r="C6" s="2"/>
      <c r="D6" s="2"/>
      <c r="E6" s="2"/>
    </row>
    <row r="7" spans="1:5" x14ac:dyDescent="0.35">
      <c r="A7" s="2" t="s">
        <v>20</v>
      </c>
      <c r="B7" s="2">
        <v>54</v>
      </c>
      <c r="C7" s="2"/>
      <c r="D7" s="2"/>
      <c r="E7" s="2"/>
    </row>
    <row r="8" spans="1:5" x14ac:dyDescent="0.35">
      <c r="A8" s="2" t="s">
        <v>21</v>
      </c>
      <c r="B8" s="2">
        <v>88</v>
      </c>
      <c r="C8" s="2"/>
      <c r="D8" s="2"/>
      <c r="E8" s="2"/>
    </row>
    <row r="9" spans="1:5" x14ac:dyDescent="0.35">
      <c r="A9" s="2" t="s">
        <v>22</v>
      </c>
      <c r="B9" s="2">
        <v>35</v>
      </c>
      <c r="C9" s="2"/>
      <c r="D9" s="2"/>
      <c r="E9" s="2"/>
    </row>
    <row r="10" spans="1:5" x14ac:dyDescent="0.35">
      <c r="A10" s="2" t="s">
        <v>23</v>
      </c>
      <c r="B10" s="2">
        <v>72</v>
      </c>
      <c r="C10" s="2"/>
      <c r="D10" s="2"/>
      <c r="E10" s="2"/>
    </row>
    <row r="11" spans="1:5" x14ac:dyDescent="0.35">
      <c r="A11" s="2" t="s">
        <v>24</v>
      </c>
      <c r="B11" s="2">
        <v>96</v>
      </c>
      <c r="C11" s="2"/>
      <c r="D11" s="2"/>
      <c r="E11" s="2"/>
    </row>
    <row r="12" spans="1:5" x14ac:dyDescent="0.35">
      <c r="A12" s="2" t="s">
        <v>25</v>
      </c>
      <c r="B12" s="2">
        <v>120</v>
      </c>
      <c r="C12" s="2"/>
      <c r="D12" s="2"/>
      <c r="E12" s="2"/>
    </row>
    <row r="13" spans="1:5" x14ac:dyDescent="0.35">
      <c r="A13" s="2" t="s">
        <v>26</v>
      </c>
      <c r="B13" s="2">
        <v>61</v>
      </c>
      <c r="C13" s="2"/>
      <c r="D13" s="2"/>
      <c r="E13" s="2"/>
    </row>
    <row r="14" spans="1:5" x14ac:dyDescent="0.35">
      <c r="A14" s="2" t="s">
        <v>27</v>
      </c>
      <c r="B14" s="2">
        <v>48</v>
      </c>
      <c r="C14" s="2"/>
      <c r="D14" s="2"/>
      <c r="E14" s="2"/>
    </row>
    <row r="15" spans="1:5" x14ac:dyDescent="0.35">
      <c r="A15" s="2" t="s">
        <v>28</v>
      </c>
      <c r="B15" s="2">
        <v>83</v>
      </c>
      <c r="C15" s="2"/>
      <c r="D15" s="2"/>
      <c r="E15" s="2"/>
    </row>
    <row r="16" spans="1:5" x14ac:dyDescent="0.35">
      <c r="A16" s="2" t="s">
        <v>29</v>
      </c>
      <c r="B16" s="2">
        <v>57</v>
      </c>
      <c r="C16" s="2"/>
      <c r="D16" s="2"/>
      <c r="E16" s="2"/>
    </row>
    <row r="17" spans="1:5" x14ac:dyDescent="0.35">
      <c r="A17" s="2" t="s">
        <v>30</v>
      </c>
      <c r="B17" s="2">
        <v>29</v>
      </c>
      <c r="C17" s="2"/>
      <c r="D17" s="2"/>
      <c r="E17" s="2"/>
    </row>
    <row r="18" spans="1:5" x14ac:dyDescent="0.35">
      <c r="A18" s="2" t="s">
        <v>31</v>
      </c>
      <c r="B18" s="2">
        <v>22</v>
      </c>
      <c r="C18" s="2"/>
      <c r="D18" s="2"/>
      <c r="E18" s="2"/>
    </row>
    <row r="19" spans="1:5" x14ac:dyDescent="0.35">
      <c r="A19" s="2" t="s">
        <v>32</v>
      </c>
      <c r="B19" s="2">
        <v>69</v>
      </c>
      <c r="C19" s="2"/>
      <c r="D19" s="2"/>
      <c r="E19" s="2"/>
    </row>
    <row r="20" spans="1:5" x14ac:dyDescent="0.35">
      <c r="A20" s="2" t="s">
        <v>33</v>
      </c>
      <c r="B20" s="2">
        <v>101</v>
      </c>
      <c r="C20" s="2"/>
      <c r="D20" s="2"/>
      <c r="E20" s="2"/>
    </row>
    <row r="21" spans="1:5" x14ac:dyDescent="0.35">
      <c r="A21" s="2" t="s">
        <v>34</v>
      </c>
      <c r="B21" s="2">
        <v>31</v>
      </c>
      <c r="C21" s="2"/>
      <c r="D21" s="2"/>
      <c r="E21" s="2"/>
    </row>
    <row r="22" spans="1:5" x14ac:dyDescent="0.35">
      <c r="A22" s="2" t="s">
        <v>35</v>
      </c>
      <c r="B22" s="2">
        <v>45</v>
      </c>
      <c r="C22" s="2"/>
      <c r="D22" s="2"/>
      <c r="E22" s="2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2"/>
  <sheetViews>
    <sheetView workbookViewId="0">
      <pane ySplit="2" topLeftCell="A3" activePane="bottomLeft" state="frozen"/>
      <selection pane="bottomLeft" activeCell="E6" sqref="E6"/>
    </sheetView>
  </sheetViews>
  <sheetFormatPr defaultRowHeight="14.5" x14ac:dyDescent="0.35"/>
  <cols>
    <col min="1" max="1" width="34" customWidth="1"/>
    <col min="2" max="3" width="12" customWidth="1"/>
    <col min="4" max="4" width="28" customWidth="1"/>
    <col min="5" max="5" width="55" customWidth="1"/>
  </cols>
  <sheetData>
    <row r="1" spans="1:5" ht="18.5" x14ac:dyDescent="0.35">
      <c r="A1" s="1" t="s">
        <v>36</v>
      </c>
      <c r="B1" s="2"/>
      <c r="C1" s="2"/>
      <c r="D1" s="2"/>
      <c r="E1" s="2"/>
    </row>
    <row r="2" spans="1:5" x14ac:dyDescent="0.35">
      <c r="A2" s="3" t="s">
        <v>37</v>
      </c>
      <c r="B2" s="3" t="s">
        <v>38</v>
      </c>
      <c r="C2" s="2"/>
      <c r="D2" s="3" t="s">
        <v>39</v>
      </c>
      <c r="E2" s="3" t="s">
        <v>40</v>
      </c>
    </row>
    <row r="3" spans="1:5" x14ac:dyDescent="0.35">
      <c r="A3" s="2">
        <v>1</v>
      </c>
      <c r="B3" s="2">
        <v>6200</v>
      </c>
      <c r="C3" s="2"/>
      <c r="D3" s="2" t="s">
        <v>14</v>
      </c>
      <c r="E3" s="2">
        <f>_xlfn.QUARTILE.INC(B3:B32,1)</f>
        <v>6825</v>
      </c>
    </row>
    <row r="4" spans="1:5" x14ac:dyDescent="0.35">
      <c r="A4" s="2">
        <v>2</v>
      </c>
      <c r="B4" s="2">
        <v>8100</v>
      </c>
      <c r="C4" s="2"/>
      <c r="D4" s="2" t="s">
        <v>18</v>
      </c>
      <c r="E4" s="2">
        <f>_xlfn.QUARTILE.INC(B3:B32,3)</f>
        <v>8750</v>
      </c>
    </row>
    <row r="5" spans="1:5" x14ac:dyDescent="0.35">
      <c r="A5" s="2">
        <v>3</v>
      </c>
      <c r="B5" s="2">
        <v>7450</v>
      </c>
      <c r="C5" s="2"/>
      <c r="D5" s="2" t="s">
        <v>41</v>
      </c>
      <c r="E5" s="2">
        <f>E3-E4</f>
        <v>-1925</v>
      </c>
    </row>
    <row r="6" spans="1:5" x14ac:dyDescent="0.35">
      <c r="A6" s="2">
        <v>4</v>
      </c>
      <c r="B6" s="2">
        <v>9200</v>
      </c>
      <c r="C6" s="2"/>
      <c r="D6" s="2" t="s">
        <v>42</v>
      </c>
      <c r="E6" s="2" t="str">
        <f>"IQR = "&amp;TEXT(E5,"0")&amp;" steps. A smaller IQR means daily activity is more consistent; a larger IQR means greater variation."</f>
        <v>IQR = -1925 steps. A smaller IQR means daily activity is more consistent; a larger IQR means greater variation.</v>
      </c>
    </row>
    <row r="7" spans="1:5" x14ac:dyDescent="0.35">
      <c r="A7" s="2">
        <v>5</v>
      </c>
      <c r="B7" s="2">
        <v>6800</v>
      </c>
      <c r="C7" s="2"/>
      <c r="D7" s="2"/>
      <c r="E7" s="2"/>
    </row>
    <row r="8" spans="1:5" x14ac:dyDescent="0.35">
      <c r="A8" s="2">
        <v>6</v>
      </c>
      <c r="B8" s="2">
        <v>10300</v>
      </c>
      <c r="C8" s="2"/>
      <c r="D8" s="2"/>
      <c r="E8" s="2"/>
    </row>
    <row r="9" spans="1:5" x14ac:dyDescent="0.35">
      <c r="A9" s="2">
        <v>7</v>
      </c>
      <c r="B9" s="2">
        <v>5600</v>
      </c>
      <c r="C9" s="2"/>
      <c r="D9" s="2"/>
      <c r="E9" s="2"/>
    </row>
    <row r="10" spans="1:5" x14ac:dyDescent="0.35">
      <c r="A10" s="2">
        <v>8</v>
      </c>
      <c r="B10" s="2">
        <v>7300</v>
      </c>
      <c r="C10" s="2"/>
      <c r="D10" s="2"/>
      <c r="E10" s="2"/>
    </row>
    <row r="11" spans="1:5" x14ac:dyDescent="0.35">
      <c r="A11" s="2">
        <v>9</v>
      </c>
      <c r="B11" s="2">
        <v>8500</v>
      </c>
      <c r="C11" s="2"/>
      <c r="D11" s="2"/>
      <c r="E11" s="2"/>
    </row>
    <row r="12" spans="1:5" x14ac:dyDescent="0.35">
      <c r="A12" s="2">
        <v>10</v>
      </c>
      <c r="B12" s="2">
        <v>7900</v>
      </c>
      <c r="C12" s="2"/>
      <c r="D12" s="2"/>
      <c r="E12" s="2"/>
    </row>
    <row r="13" spans="1:5" x14ac:dyDescent="0.35">
      <c r="A13" s="2">
        <v>11</v>
      </c>
      <c r="B13" s="2">
        <v>6100</v>
      </c>
      <c r="C13" s="2"/>
      <c r="D13" s="2"/>
      <c r="E13" s="2"/>
    </row>
    <row r="14" spans="1:5" x14ac:dyDescent="0.35">
      <c r="A14" s="2">
        <v>12</v>
      </c>
      <c r="B14" s="2">
        <v>9700</v>
      </c>
      <c r="C14" s="2"/>
      <c r="D14" s="2"/>
      <c r="E14" s="2"/>
    </row>
    <row r="15" spans="1:5" x14ac:dyDescent="0.35">
      <c r="A15" s="2">
        <v>13</v>
      </c>
      <c r="B15" s="2">
        <v>11200</v>
      </c>
      <c r="C15" s="2"/>
      <c r="D15" s="2"/>
      <c r="E15" s="2"/>
    </row>
    <row r="16" spans="1:5" x14ac:dyDescent="0.35">
      <c r="A16" s="2">
        <v>14</v>
      </c>
      <c r="B16" s="2">
        <v>6800</v>
      </c>
      <c r="C16" s="2"/>
      <c r="D16" s="2"/>
      <c r="E16" s="2"/>
    </row>
    <row r="17" spans="1:5" x14ac:dyDescent="0.35">
      <c r="A17" s="2">
        <v>15</v>
      </c>
      <c r="B17" s="2">
        <v>7600</v>
      </c>
      <c r="C17" s="2"/>
      <c r="D17" s="2"/>
      <c r="E17" s="2"/>
    </row>
    <row r="18" spans="1:5" x14ac:dyDescent="0.35">
      <c r="A18" s="2">
        <v>16</v>
      </c>
      <c r="B18" s="2">
        <v>8300</v>
      </c>
      <c r="C18" s="2"/>
      <c r="D18" s="2"/>
      <c r="E18" s="2"/>
    </row>
    <row r="19" spans="1:5" x14ac:dyDescent="0.35">
      <c r="A19" s="2">
        <v>17</v>
      </c>
      <c r="B19" s="2">
        <v>5900</v>
      </c>
      <c r="C19" s="2"/>
      <c r="D19" s="2"/>
      <c r="E19" s="2"/>
    </row>
    <row r="20" spans="1:5" x14ac:dyDescent="0.35">
      <c r="A20" s="2">
        <v>18</v>
      </c>
      <c r="B20" s="2">
        <v>7100</v>
      </c>
      <c r="C20" s="2"/>
      <c r="D20" s="2"/>
      <c r="E20" s="2"/>
    </row>
    <row r="21" spans="1:5" x14ac:dyDescent="0.35">
      <c r="A21" s="2">
        <v>19</v>
      </c>
      <c r="B21" s="2">
        <v>8800</v>
      </c>
      <c r="C21" s="2"/>
      <c r="D21" s="2"/>
      <c r="E21" s="2"/>
    </row>
    <row r="22" spans="1:5" x14ac:dyDescent="0.35">
      <c r="A22" s="2">
        <v>20</v>
      </c>
      <c r="B22" s="2">
        <v>9500</v>
      </c>
      <c r="C22" s="2"/>
      <c r="D22" s="2"/>
      <c r="E22" s="2"/>
    </row>
    <row r="23" spans="1:5" x14ac:dyDescent="0.35">
      <c r="A23" s="2">
        <v>21</v>
      </c>
      <c r="B23" s="2">
        <v>6400</v>
      </c>
      <c r="C23" s="2"/>
      <c r="D23" s="2"/>
      <c r="E23" s="2"/>
    </row>
    <row r="24" spans="1:5" x14ac:dyDescent="0.35">
      <c r="A24" s="2">
        <v>22</v>
      </c>
      <c r="B24" s="2">
        <v>7800</v>
      </c>
      <c r="C24" s="2"/>
      <c r="D24" s="2"/>
      <c r="E24" s="2"/>
    </row>
    <row r="25" spans="1:5" x14ac:dyDescent="0.35">
      <c r="A25" s="2">
        <v>23</v>
      </c>
      <c r="B25" s="2">
        <v>10800</v>
      </c>
      <c r="C25" s="2"/>
      <c r="D25" s="2"/>
      <c r="E25" s="2"/>
    </row>
    <row r="26" spans="1:5" x14ac:dyDescent="0.35">
      <c r="A26" s="2">
        <v>24</v>
      </c>
      <c r="B26" s="2">
        <v>6900</v>
      </c>
      <c r="C26" s="2"/>
      <c r="D26" s="2"/>
      <c r="E26" s="2"/>
    </row>
    <row r="27" spans="1:5" x14ac:dyDescent="0.35">
      <c r="A27" s="2">
        <v>25</v>
      </c>
      <c r="B27" s="2">
        <v>8200</v>
      </c>
      <c r="C27" s="2"/>
      <c r="D27" s="2"/>
      <c r="E27" s="2"/>
    </row>
    <row r="28" spans="1:5" x14ac:dyDescent="0.35">
      <c r="A28" s="2">
        <v>26</v>
      </c>
      <c r="B28" s="2">
        <v>7400</v>
      </c>
      <c r="C28" s="2"/>
      <c r="D28" s="2"/>
      <c r="E28" s="2"/>
    </row>
    <row r="29" spans="1:5" x14ac:dyDescent="0.35">
      <c r="A29" s="2">
        <v>27</v>
      </c>
      <c r="B29" s="2">
        <v>9100</v>
      </c>
      <c r="C29" s="2"/>
      <c r="D29" s="2"/>
      <c r="E29" s="2"/>
    </row>
    <row r="30" spans="1:5" x14ac:dyDescent="0.35">
      <c r="A30" s="2">
        <v>28</v>
      </c>
      <c r="B30" s="2">
        <v>5700</v>
      </c>
      <c r="C30" s="2"/>
      <c r="D30" s="2"/>
      <c r="E30" s="2"/>
    </row>
    <row r="31" spans="1:5" x14ac:dyDescent="0.35">
      <c r="A31" s="2">
        <v>29</v>
      </c>
      <c r="B31" s="2">
        <v>8600</v>
      </c>
      <c r="C31" s="2"/>
      <c r="D31" s="2"/>
      <c r="E31" s="2"/>
    </row>
    <row r="32" spans="1:5" x14ac:dyDescent="0.35">
      <c r="A32" s="2">
        <v>30</v>
      </c>
      <c r="B32" s="2">
        <v>7950</v>
      </c>
      <c r="C32" s="2"/>
      <c r="D32" s="2"/>
      <c r="E32" s="2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4"/>
  <sheetViews>
    <sheetView workbookViewId="0">
      <pane ySplit="2" topLeftCell="A3" activePane="bottomLeft" state="frozen"/>
      <selection pane="bottomLeft" activeCell="F9" sqref="F9"/>
    </sheetView>
  </sheetViews>
  <sheetFormatPr defaultRowHeight="14.5" x14ac:dyDescent="0.35"/>
  <cols>
    <col min="1" max="1" width="49" customWidth="1"/>
    <col min="2" max="2" width="12" customWidth="1"/>
    <col min="3" max="3" width="47" customWidth="1"/>
    <col min="4" max="4" width="12" customWidth="1"/>
    <col min="5" max="5" width="16" customWidth="1"/>
    <col min="6" max="6" width="55" customWidth="1"/>
  </cols>
  <sheetData>
    <row r="1" spans="1:6" ht="18.5" x14ac:dyDescent="0.35">
      <c r="A1" s="1" t="s">
        <v>43</v>
      </c>
      <c r="B1" s="2"/>
      <c r="C1" s="2"/>
      <c r="D1" s="2"/>
      <c r="E1" s="2"/>
      <c r="F1" s="2"/>
    </row>
    <row r="2" spans="1:6" x14ac:dyDescent="0.35">
      <c r="A2" s="3" t="s">
        <v>1</v>
      </c>
      <c r="B2" s="3" t="s">
        <v>44</v>
      </c>
      <c r="C2" s="3" t="s">
        <v>45</v>
      </c>
      <c r="D2" s="2"/>
      <c r="E2" s="3" t="s">
        <v>39</v>
      </c>
      <c r="F2" s="3" t="s">
        <v>46</v>
      </c>
    </row>
    <row r="3" spans="1:6" x14ac:dyDescent="0.35">
      <c r="A3" s="2">
        <v>1</v>
      </c>
      <c r="B3" s="2">
        <v>180</v>
      </c>
      <c r="C3" s="2" t="str">
        <f>IF(OR(B3&lt;$F$3,B3&gt;$F$4),"Outlier","Normal")</f>
        <v>Normal</v>
      </c>
      <c r="D3" s="2"/>
      <c r="E3" s="2" t="s">
        <v>47</v>
      </c>
      <c r="F3" s="2">
        <f>_xlfn.QUARTILE.INC(B3:B24,1)-1.5*(_xlfn.QUARTILE.INC(B3:B24,3)-_xlfn.QUARTILE.INC(B3:B24,1))</f>
        <v>-4.375</v>
      </c>
    </row>
    <row r="4" spans="1:6" x14ac:dyDescent="0.35">
      <c r="A4" s="2">
        <v>2</v>
      </c>
      <c r="B4" s="2">
        <v>250</v>
      </c>
      <c r="C4" s="2" t="str">
        <f t="shared" ref="C3:C24" si="0">IF(OR(B4&lt;$F$3,B4&gt;$F$4),"Outlier","Normal")</f>
        <v>Normal</v>
      </c>
      <c r="D4" s="2"/>
      <c r="E4" s="2" t="s">
        <v>48</v>
      </c>
      <c r="F4" s="2">
        <f>_xlfn.QUARTILE.INC(B3:B24,3)+1.5*(_xlfn.QUARTILE.INC(B3:B24,3)-_xlfn.QUARTILE.INC(B3:B24,1))</f>
        <v>710.625</v>
      </c>
    </row>
    <row r="5" spans="1:6" x14ac:dyDescent="0.35">
      <c r="A5" s="2">
        <v>3</v>
      </c>
      <c r="B5" s="2">
        <v>320</v>
      </c>
      <c r="C5" s="2" t="str">
        <f t="shared" si="0"/>
        <v>Normal</v>
      </c>
      <c r="D5" s="2"/>
      <c r="E5" s="2" t="s">
        <v>14</v>
      </c>
      <c r="F5" s="2">
        <f>_xlfn.QUARTILE.INC(B3:B24,1)</f>
        <v>263.75</v>
      </c>
    </row>
    <row r="6" spans="1:6" x14ac:dyDescent="0.35">
      <c r="A6" s="2">
        <v>4</v>
      </c>
      <c r="B6" s="2">
        <v>450</v>
      </c>
      <c r="C6" s="2" t="str">
        <f t="shared" si="0"/>
        <v>Normal</v>
      </c>
      <c r="D6" s="2"/>
      <c r="E6" s="2" t="s">
        <v>18</v>
      </c>
      <c r="F6" s="2">
        <f>_xlfn.QUARTILE.INC(B3:B24,3)</f>
        <v>442.5</v>
      </c>
    </row>
    <row r="7" spans="1:6" x14ac:dyDescent="0.35">
      <c r="A7" s="2">
        <v>5</v>
      </c>
      <c r="B7" s="2">
        <v>275</v>
      </c>
      <c r="C7" s="2" t="str">
        <f t="shared" si="0"/>
        <v>Normal</v>
      </c>
      <c r="D7" s="2"/>
      <c r="E7" s="2" t="s">
        <v>41</v>
      </c>
      <c r="F7" s="2">
        <f>F6-F5</f>
        <v>178.75</v>
      </c>
    </row>
    <row r="8" spans="1:6" x14ac:dyDescent="0.35">
      <c r="A8" s="2">
        <v>6</v>
      </c>
      <c r="B8" s="2">
        <v>390</v>
      </c>
      <c r="C8" s="2" t="str">
        <f t="shared" si="0"/>
        <v>Normal</v>
      </c>
      <c r="D8" s="2"/>
      <c r="E8" s="2"/>
      <c r="F8" s="2"/>
    </row>
    <row r="9" spans="1:6" x14ac:dyDescent="0.35">
      <c r="A9" s="2">
        <v>7</v>
      </c>
      <c r="B9" s="2">
        <v>510</v>
      </c>
      <c r="C9" s="2" t="str">
        <f t="shared" si="0"/>
        <v>Normal</v>
      </c>
      <c r="D9" s="2"/>
      <c r="E9" s="2" t="s">
        <v>49</v>
      </c>
      <c r="F9" s="2"/>
    </row>
    <row r="10" spans="1:6" x14ac:dyDescent="0.35">
      <c r="A10" s="2">
        <v>8</v>
      </c>
      <c r="B10" s="2">
        <v>225</v>
      </c>
      <c r="C10" s="2" t="str">
        <f t="shared" si="0"/>
        <v>Normal</v>
      </c>
      <c r="D10" s="2"/>
      <c r="E10" s="2"/>
      <c r="F10" s="2"/>
    </row>
    <row r="11" spans="1:6" x14ac:dyDescent="0.35">
      <c r="A11" s="2">
        <v>9</v>
      </c>
      <c r="B11" s="2">
        <v>340</v>
      </c>
      <c r="C11" s="2" t="str">
        <f t="shared" si="0"/>
        <v>Normal</v>
      </c>
      <c r="D11" s="2"/>
      <c r="E11" s="2"/>
      <c r="F11" s="2"/>
    </row>
    <row r="12" spans="1:6" x14ac:dyDescent="0.35">
      <c r="A12" s="2">
        <v>10</v>
      </c>
      <c r="B12" s="2">
        <v>290</v>
      </c>
      <c r="C12" s="2" t="str">
        <f t="shared" si="0"/>
        <v>Normal</v>
      </c>
      <c r="D12" s="2"/>
      <c r="E12" s="2"/>
      <c r="F12" s="2"/>
    </row>
    <row r="13" spans="1:6" x14ac:dyDescent="0.35">
      <c r="A13" s="2">
        <v>11</v>
      </c>
      <c r="B13" s="2">
        <v>610</v>
      </c>
      <c r="C13" s="2" t="str">
        <f t="shared" si="0"/>
        <v>Normal</v>
      </c>
      <c r="D13" s="2"/>
      <c r="E13" s="2"/>
      <c r="F13" s="2"/>
    </row>
    <row r="14" spans="1:6" x14ac:dyDescent="0.35">
      <c r="A14" s="2">
        <v>12</v>
      </c>
      <c r="B14" s="2">
        <v>375</v>
      </c>
      <c r="C14" s="2" t="str">
        <f t="shared" si="0"/>
        <v>Normal</v>
      </c>
      <c r="D14" s="2"/>
      <c r="E14" s="2"/>
      <c r="F14" s="2"/>
    </row>
    <row r="15" spans="1:6" x14ac:dyDescent="0.35">
      <c r="A15" s="2">
        <v>13</v>
      </c>
      <c r="B15" s="2">
        <v>420</v>
      </c>
      <c r="C15" s="2" t="str">
        <f t="shared" si="0"/>
        <v>Normal</v>
      </c>
      <c r="D15" s="2"/>
      <c r="E15" s="2"/>
      <c r="F15" s="2"/>
    </row>
    <row r="16" spans="1:6" x14ac:dyDescent="0.35">
      <c r="A16" s="2">
        <v>14</v>
      </c>
      <c r="B16" s="2">
        <v>195</v>
      </c>
      <c r="C16" s="2" t="str">
        <f t="shared" si="0"/>
        <v>Normal</v>
      </c>
      <c r="D16" s="2"/>
      <c r="E16" s="2"/>
      <c r="F16" s="2"/>
    </row>
    <row r="17" spans="1:6" x14ac:dyDescent="0.35">
      <c r="A17" s="2">
        <v>15</v>
      </c>
      <c r="B17" s="2">
        <v>280</v>
      </c>
      <c r="C17" s="2" t="str">
        <f t="shared" si="0"/>
        <v>Normal</v>
      </c>
      <c r="D17" s="2"/>
      <c r="E17" s="2"/>
      <c r="F17" s="2"/>
    </row>
    <row r="18" spans="1:6" x14ac:dyDescent="0.35">
      <c r="A18" s="2">
        <v>16</v>
      </c>
      <c r="B18" s="2">
        <v>330</v>
      </c>
      <c r="C18" s="2" t="str">
        <f t="shared" si="0"/>
        <v>Normal</v>
      </c>
      <c r="D18" s="2"/>
      <c r="E18" s="2"/>
      <c r="F18" s="2"/>
    </row>
    <row r="19" spans="1:6" x14ac:dyDescent="0.35">
      <c r="A19" s="2">
        <v>17</v>
      </c>
      <c r="B19" s="2">
        <v>470</v>
      </c>
      <c r="C19" s="2" t="str">
        <f t="shared" si="0"/>
        <v>Normal</v>
      </c>
      <c r="D19" s="2"/>
      <c r="E19" s="2"/>
      <c r="F19" s="2"/>
    </row>
    <row r="20" spans="1:6" x14ac:dyDescent="0.35">
      <c r="A20" s="2">
        <v>18</v>
      </c>
      <c r="B20" s="2">
        <v>540</v>
      </c>
      <c r="C20" s="2" t="str">
        <f t="shared" si="0"/>
        <v>Normal</v>
      </c>
      <c r="D20" s="2"/>
      <c r="E20" s="2"/>
      <c r="F20" s="2"/>
    </row>
    <row r="21" spans="1:6" x14ac:dyDescent="0.35">
      <c r="A21" s="2">
        <v>19</v>
      </c>
      <c r="B21" s="2">
        <v>260</v>
      </c>
      <c r="C21" s="2" t="str">
        <f t="shared" si="0"/>
        <v>Normal</v>
      </c>
      <c r="D21" s="2"/>
      <c r="E21" s="2"/>
      <c r="F21" s="2"/>
    </row>
    <row r="22" spans="1:6" x14ac:dyDescent="0.35">
      <c r="A22" s="2">
        <v>20</v>
      </c>
      <c r="B22" s="2">
        <v>310</v>
      </c>
      <c r="C22" s="2" t="str">
        <f t="shared" si="0"/>
        <v>Normal</v>
      </c>
      <c r="D22" s="2"/>
      <c r="E22" s="2"/>
      <c r="F22" s="2"/>
    </row>
    <row r="23" spans="1:6" x14ac:dyDescent="0.35">
      <c r="A23" s="2">
        <v>21</v>
      </c>
      <c r="B23" s="2">
        <v>1250</v>
      </c>
      <c r="C23" s="2" t="str">
        <f t="shared" si="0"/>
        <v>Outlier</v>
      </c>
      <c r="D23" s="2"/>
      <c r="E23" s="2"/>
      <c r="F23" s="2"/>
    </row>
    <row r="24" spans="1:6" x14ac:dyDescent="0.35">
      <c r="A24" s="2">
        <v>22</v>
      </c>
      <c r="B24" s="2">
        <v>75</v>
      </c>
      <c r="C24" s="2" t="str">
        <f t="shared" si="0"/>
        <v>Normal</v>
      </c>
      <c r="D24" s="2"/>
      <c r="E24" s="2"/>
      <c r="F24" s="2"/>
    </row>
  </sheetData>
  <conditionalFormatting sqref="C3:C24">
    <cfRule type="expression" dxfId="0" priority="1">
      <formula>C3="Outlier"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4"/>
  <sheetViews>
    <sheetView tabSelected="1" topLeftCell="E1" workbookViewId="0">
      <pane ySplit="2" topLeftCell="A3" activePane="bottomLeft" state="frozen"/>
      <selection pane="bottomLeft" activeCell="Q7" sqref="Q7"/>
    </sheetView>
  </sheetViews>
  <sheetFormatPr defaultRowHeight="14.5" x14ac:dyDescent="0.35"/>
  <cols>
    <col min="1" max="1" width="38" customWidth="1"/>
    <col min="2" max="2" width="21" customWidth="1"/>
    <col min="3" max="3" width="12" customWidth="1"/>
    <col min="4" max="4" width="19" customWidth="1"/>
    <col min="5" max="5" width="55" customWidth="1"/>
  </cols>
  <sheetData>
    <row r="1" spans="1:5" ht="18.5" x14ac:dyDescent="0.35">
      <c r="A1" s="1" t="s">
        <v>50</v>
      </c>
      <c r="B1" s="2"/>
      <c r="C1" s="2"/>
      <c r="D1" s="2"/>
      <c r="E1" s="2"/>
    </row>
    <row r="2" spans="1:5" x14ac:dyDescent="0.35">
      <c r="A2" s="3" t="s">
        <v>51</v>
      </c>
      <c r="B2" s="3" t="s">
        <v>52</v>
      </c>
      <c r="C2" s="2"/>
      <c r="D2" s="3" t="s">
        <v>53</v>
      </c>
      <c r="E2" s="3" t="s">
        <v>46</v>
      </c>
    </row>
    <row r="3" spans="1:5" x14ac:dyDescent="0.35">
      <c r="A3" s="2" t="s">
        <v>54</v>
      </c>
      <c r="B3" s="2">
        <v>32</v>
      </c>
      <c r="C3" s="2"/>
      <c r="D3" s="2" t="s">
        <v>55</v>
      </c>
      <c r="E3" s="2">
        <f>MIN(B3:B10)</f>
        <v>29</v>
      </c>
    </row>
    <row r="4" spans="1:5" x14ac:dyDescent="0.35">
      <c r="A4" s="2" t="s">
        <v>56</v>
      </c>
      <c r="B4" s="2">
        <v>35</v>
      </c>
      <c r="C4" s="2"/>
      <c r="D4" s="2" t="s">
        <v>14</v>
      </c>
      <c r="E4" s="2">
        <f>_xlfn.QUARTILE.INC(B3:B10,1)</f>
        <v>32.75</v>
      </c>
    </row>
    <row r="5" spans="1:5" x14ac:dyDescent="0.35">
      <c r="A5" s="2" t="s">
        <v>57</v>
      </c>
      <c r="B5" s="2">
        <v>29</v>
      </c>
      <c r="C5" s="2"/>
      <c r="D5" s="2" t="s">
        <v>58</v>
      </c>
      <c r="E5" s="2">
        <f>MEDIAN(B3:B10)</f>
        <v>35.5</v>
      </c>
    </row>
    <row r="6" spans="1:5" x14ac:dyDescent="0.35">
      <c r="A6" s="2" t="s">
        <v>59</v>
      </c>
      <c r="B6" s="2">
        <v>41</v>
      </c>
      <c r="C6" s="2"/>
      <c r="D6" s="2" t="s">
        <v>18</v>
      </c>
      <c r="E6" s="2">
        <f>_xlfn.QUARTILE.INC(B3:B10,3)</f>
        <v>38.75</v>
      </c>
    </row>
    <row r="7" spans="1:5" x14ac:dyDescent="0.35">
      <c r="A7" s="2" t="s">
        <v>60</v>
      </c>
      <c r="B7" s="2">
        <v>38</v>
      </c>
      <c r="C7" s="2"/>
      <c r="D7" s="2" t="s">
        <v>61</v>
      </c>
      <c r="E7" s="2">
        <f>MAX(B3:B10)</f>
        <v>55</v>
      </c>
    </row>
    <row r="8" spans="1:5" x14ac:dyDescent="0.35">
      <c r="A8" s="2" t="s">
        <v>62</v>
      </c>
      <c r="B8" s="2">
        <v>36</v>
      </c>
      <c r="C8" s="2"/>
      <c r="D8" s="2" t="s">
        <v>41</v>
      </c>
      <c r="E8" s="2">
        <f>E6-E4</f>
        <v>6</v>
      </c>
    </row>
    <row r="9" spans="1:5" x14ac:dyDescent="0.35">
      <c r="A9" s="2" t="s">
        <v>63</v>
      </c>
      <c r="B9" s="2">
        <v>55</v>
      </c>
      <c r="C9" s="2"/>
      <c r="D9" s="2" t="s">
        <v>64</v>
      </c>
      <c r="E9" s="2">
        <f>E4-1.5*E7</f>
        <v>-49.75</v>
      </c>
    </row>
    <row r="10" spans="1:5" x14ac:dyDescent="0.35">
      <c r="A10" s="2" t="s">
        <v>65</v>
      </c>
      <c r="B10" s="2">
        <v>33</v>
      </c>
      <c r="C10" s="2"/>
      <c r="D10" s="2" t="s">
        <v>66</v>
      </c>
      <c r="E10" s="2">
        <f>E6+1.5*E7</f>
        <v>121.25</v>
      </c>
    </row>
    <row r="11" spans="1:5" x14ac:dyDescent="0.35">
      <c r="A11" s="2"/>
      <c r="B11" s="2"/>
      <c r="C11" s="2"/>
      <c r="D11" s="2"/>
      <c r="E11" s="2"/>
    </row>
    <row r="12" spans="1:5" x14ac:dyDescent="0.35">
      <c r="A12" s="2"/>
      <c r="B12" s="2"/>
      <c r="C12" s="2"/>
      <c r="D12" s="2" t="s">
        <v>67</v>
      </c>
      <c r="E12" s="2"/>
    </row>
    <row r="13" spans="1:5" x14ac:dyDescent="0.35">
      <c r="A13" s="2"/>
      <c r="B13" s="2"/>
      <c r="C13" s="2"/>
      <c r="D13" s="2"/>
      <c r="E13" s="2"/>
    </row>
    <row r="14" spans="1:5" x14ac:dyDescent="0.35">
      <c r="A14" s="2"/>
      <c r="B14" s="2"/>
      <c r="C14" s="2"/>
      <c r="D14" s="2" t="s">
        <v>68</v>
      </c>
      <c r="E14" s="2" t="s">
        <v>69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Percentiles</vt:lpstr>
      <vt:lpstr>IPL Quartiles</vt:lpstr>
      <vt:lpstr>Steps IQR</vt:lpstr>
      <vt:lpstr>Swiggy Outliers</vt:lpstr>
      <vt:lpstr>Screen Time Boxplot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Navedul Hasan Kadiwala</cp:lastModifiedBy>
  <dcterms:created xsi:type="dcterms:W3CDTF">2026-08-13T05:11:54Z</dcterms:created>
  <dcterms:modified xsi:type="dcterms:W3CDTF">2026-08-13T05:18:42Z</dcterms:modified>
</cp:coreProperties>
</file>